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21b1524e0288b47e/Analyticslab class pdf/project/"/>
    </mc:Choice>
  </mc:AlternateContent>
  <xr:revisionPtr revIDLastSave="103" documentId="8_{6DA1A604-A17F-48B5-8D14-E96BA386EA53}" xr6:coauthVersionLast="47" xr6:coauthVersionMax="47" xr10:uidLastSave="{122CB494-1CCF-4496-9E9E-5375E5615DE5}"/>
  <workbookProtection lockStructure="1"/>
  <bookViews>
    <workbookView xWindow="-108" yWindow="-108" windowWidth="23256" windowHeight="13896" tabRatio="758" activeTab="4" xr2:uid="{79EB00AA-E363-4462-86A0-44CFA398920C}"/>
  </bookViews>
  <sheets>
    <sheet name="Question 1" sheetId="2" r:id="rId1"/>
    <sheet name="Question 2" sheetId="6" r:id="rId2"/>
    <sheet name="Question 3" sheetId="10" r:id="rId3"/>
    <sheet name="ANALYSIS" sheetId="7" r:id="rId4"/>
    <sheet name="REPORT" sheetId="11" r:id="rId5"/>
    <sheet name="SPORTSMEN" sheetId="1" r:id="rId6"/>
    <sheet name="SPORT" sheetId="5" r:id="rId7"/>
    <sheet name="LOCATION" sheetId="4" r:id="rId8"/>
  </sheets>
  <calcPr calcId="191029"/>
  <pivotCaches>
    <pivotCache cacheId="7"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 r="H6" i="7"/>
  <c r="I6" i="7"/>
  <c r="H7" i="7"/>
  <c r="I7" i="7"/>
  <c r="H8" i="7"/>
  <c r="I8" i="7"/>
  <c r="H9" i="7"/>
  <c r="I9" i="7"/>
  <c r="H10" i="7"/>
  <c r="I10" i="7"/>
  <c r="H11" i="7"/>
  <c r="I11" i="7"/>
  <c r="H12" i="7"/>
  <c r="I12" i="7"/>
  <c r="H13" i="7"/>
  <c r="I13" i="7"/>
  <c r="H14" i="7"/>
  <c r="I14" i="7"/>
  <c r="H15" i="7"/>
  <c r="I15" i="7"/>
  <c r="I5" i="7"/>
  <c r="H5" i="7"/>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3" i="1"/>
  <c r="M4"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2" i="1"/>
</calcChain>
</file>

<file path=xl/sharedStrings.xml><?xml version="1.0" encoding="utf-8"?>
<sst xmlns="http://schemas.openxmlformats.org/spreadsheetml/2006/main" count="2458" uniqueCount="679">
  <si>
    <t>PREFIX</t>
  </si>
  <si>
    <t>FIRSTNAME</t>
  </si>
  <si>
    <t>MIDDLENAME</t>
  </si>
  <si>
    <t>LASTNAME</t>
  </si>
  <si>
    <t>BIRTHDATE</t>
  </si>
  <si>
    <t>ZODIAC</t>
  </si>
  <si>
    <t>Ms.</t>
  </si>
  <si>
    <t>Annie</t>
  </si>
  <si>
    <t>Abbott</t>
  </si>
  <si>
    <t>Libra</t>
  </si>
  <si>
    <t>Aurelie</t>
  </si>
  <si>
    <t>Liesuchke</t>
  </si>
  <si>
    <t>Aquarius</t>
  </si>
  <si>
    <t>Sr.</t>
  </si>
  <si>
    <t>Tomas</t>
  </si>
  <si>
    <t>Ferreira</t>
  </si>
  <si>
    <t>Filho</t>
  </si>
  <si>
    <t>Cancer</t>
  </si>
  <si>
    <t>Darby</t>
  </si>
  <si>
    <t>Cruickshank</t>
  </si>
  <si>
    <t>Taurus</t>
  </si>
  <si>
    <t>Dr.</t>
  </si>
  <si>
    <t>Jaydon</t>
  </si>
  <si>
    <t>Borer</t>
  </si>
  <si>
    <t>Mr.</t>
  </si>
  <si>
    <t xml:space="preserve">Moriah </t>
  </si>
  <si>
    <t>Lynch</t>
  </si>
  <si>
    <t>Sagittarius</t>
  </si>
  <si>
    <t>Amiya</t>
  </si>
  <si>
    <t>Eichmann</t>
  </si>
  <si>
    <t>Leo</t>
  </si>
  <si>
    <t>Pierce</t>
  </si>
  <si>
    <t>Rau</t>
  </si>
  <si>
    <t>Amelia</t>
  </si>
  <si>
    <t>Stevens</t>
  </si>
  <si>
    <t>Toby</t>
  </si>
  <si>
    <t>Simpson</t>
  </si>
  <si>
    <t>Sir</t>
  </si>
  <si>
    <t>Ethan</t>
  </si>
  <si>
    <t>Murphy</t>
  </si>
  <si>
    <t>Scorpio</t>
  </si>
  <si>
    <t>Mrs.</t>
  </si>
  <si>
    <t>Ashley</t>
  </si>
  <si>
    <t>Wood</t>
  </si>
  <si>
    <t>Megan</t>
  </si>
  <si>
    <t>Scott</t>
  </si>
  <si>
    <t>Hr.</t>
  </si>
  <si>
    <t>Helmut</t>
  </si>
  <si>
    <t>Weinhae</t>
  </si>
  <si>
    <t>Virgo</t>
  </si>
  <si>
    <t>Prof.</t>
  </si>
  <si>
    <t>Milena</t>
  </si>
  <si>
    <t>Schotin</t>
  </si>
  <si>
    <t>Pisces</t>
  </si>
  <si>
    <t>Lothar</t>
  </si>
  <si>
    <t>Birnbaum</t>
  </si>
  <si>
    <t>Pietro</t>
  </si>
  <si>
    <t>Stolze</t>
  </si>
  <si>
    <t xml:space="preserve">Richard </t>
  </si>
  <si>
    <t>Tlustek</t>
  </si>
  <si>
    <t>Earnestine</t>
  </si>
  <si>
    <t>Raynor</t>
  </si>
  <si>
    <t>Jason</t>
  </si>
  <si>
    <t>Gaylord</t>
  </si>
  <si>
    <t>Capricorn</t>
  </si>
  <si>
    <t>Kendrick</t>
  </si>
  <si>
    <t>Sauer</t>
  </si>
  <si>
    <t>Annabell</t>
  </si>
  <si>
    <t>Olson</t>
  </si>
  <si>
    <t>Aries</t>
  </si>
  <si>
    <t>Jena</t>
  </si>
  <si>
    <t>Upton</t>
  </si>
  <si>
    <t>Shanny</t>
  </si>
  <si>
    <t>Bins</t>
  </si>
  <si>
    <t>Tia</t>
  </si>
  <si>
    <t>Abshire</t>
  </si>
  <si>
    <t>Isabel</t>
  </si>
  <si>
    <t>Runolfsdottir</t>
  </si>
  <si>
    <t>Barney</t>
  </si>
  <si>
    <t>Wesack</t>
  </si>
  <si>
    <t>Baruch</t>
  </si>
  <si>
    <t>Kade</t>
  </si>
  <si>
    <t>Liesbeth</t>
  </si>
  <si>
    <t>Rosemann</t>
  </si>
  <si>
    <t>Mme.</t>
  </si>
  <si>
    <t>Valentine</t>
  </si>
  <si>
    <t>Moreau</t>
  </si>
  <si>
    <t>Paulette</t>
  </si>
  <si>
    <t>Durand</t>
  </si>
  <si>
    <t>Laure-Alix</t>
  </si>
  <si>
    <t>Chevalier</t>
  </si>
  <si>
    <t>M.</t>
  </si>
  <si>
    <t>Claude</t>
  </si>
  <si>
    <t>Toussaint</t>
  </si>
  <si>
    <t>Victor</t>
  </si>
  <si>
    <t>Lenoir</t>
  </si>
  <si>
    <t>Arthur</t>
  </si>
  <si>
    <t>Benjamin</t>
  </si>
  <si>
    <t>Lebrun-Brun</t>
  </si>
  <si>
    <t>Antoine</t>
  </si>
  <si>
    <t>Maillard</t>
  </si>
  <si>
    <t>Bernard</t>
  </si>
  <si>
    <t>Hoarau-Guyon</t>
  </si>
  <si>
    <t>Hidalgo</t>
  </si>
  <si>
    <t>Cantu</t>
  </si>
  <si>
    <t>Tercero</t>
  </si>
  <si>
    <t>Hadalgo</t>
  </si>
  <si>
    <t>Polanco</t>
  </si>
  <si>
    <t>Gemini</t>
  </si>
  <si>
    <t>Sra.</t>
  </si>
  <si>
    <t>Laura</t>
  </si>
  <si>
    <t>Oliviera</t>
  </si>
  <si>
    <t>Ainhoa</t>
  </si>
  <si>
    <t>Garza</t>
  </si>
  <si>
    <t>Banda</t>
  </si>
  <si>
    <t>Carolota</t>
  </si>
  <si>
    <t>Mateos</t>
  </si>
  <si>
    <t>Mw.</t>
  </si>
  <si>
    <t>Elize</t>
  </si>
  <si>
    <t>Prins</t>
  </si>
  <si>
    <t>dhr.</t>
  </si>
  <si>
    <t>Ryan</t>
  </si>
  <si>
    <t>Pham</t>
  </si>
  <si>
    <t>Mw</t>
  </si>
  <si>
    <t>Elise</t>
  </si>
  <si>
    <t>Rotteveel</t>
  </si>
  <si>
    <t>Fru.</t>
  </si>
  <si>
    <t>Mirjam</t>
  </si>
  <si>
    <t>Soderberg</t>
  </si>
  <si>
    <t>H.</t>
  </si>
  <si>
    <t>Berndt</t>
  </si>
  <si>
    <t>Palsson</t>
  </si>
  <si>
    <t>Adriano</t>
  </si>
  <si>
    <t>Pontes</t>
  </si>
  <si>
    <t>Sobrinho</t>
  </si>
  <si>
    <t>S No</t>
  </si>
  <si>
    <t>LANGUAGE</t>
  </si>
  <si>
    <t>COUNTRYCODE</t>
  </si>
  <si>
    <t>Female</t>
  </si>
  <si>
    <t>English</t>
  </si>
  <si>
    <t>USA</t>
  </si>
  <si>
    <t>US</t>
  </si>
  <si>
    <t>Male</t>
  </si>
  <si>
    <t>Portuguese</t>
  </si>
  <si>
    <t>BRAZIL</t>
  </si>
  <si>
    <t>BR</t>
  </si>
  <si>
    <t>UK</t>
  </si>
  <si>
    <t>GB</t>
  </si>
  <si>
    <t>German</t>
  </si>
  <si>
    <t>GERMANY</t>
  </si>
  <si>
    <t>DE</t>
  </si>
  <si>
    <t>AUSTRALIA</t>
  </si>
  <si>
    <t>OZ</t>
  </si>
  <si>
    <t>AUSTRIA</t>
  </si>
  <si>
    <t>AU</t>
  </si>
  <si>
    <t>French</t>
  </si>
  <si>
    <t>FRANCE</t>
  </si>
  <si>
    <t>FR</t>
  </si>
  <si>
    <t>Spanish</t>
  </si>
  <si>
    <t>ARGENTINA</t>
  </si>
  <si>
    <t>AG</t>
  </si>
  <si>
    <t>SPAIN</t>
  </si>
  <si>
    <t>ES</t>
  </si>
  <si>
    <t>Dutch</t>
  </si>
  <si>
    <t>NETHERLANDS</t>
  </si>
  <si>
    <t>DU</t>
  </si>
  <si>
    <t>Swedish</t>
  </si>
  <si>
    <t>SWEDEN</t>
  </si>
  <si>
    <t>SV</t>
  </si>
  <si>
    <t>PR</t>
  </si>
  <si>
    <t>GENDER</t>
  </si>
  <si>
    <t>SPORTS LOCATION</t>
  </si>
  <si>
    <t>SPORTS</t>
  </si>
  <si>
    <t>INDOOR</t>
  </si>
  <si>
    <t>Cycling Track</t>
  </si>
  <si>
    <t>Boxing</t>
  </si>
  <si>
    <t>OUTDOOR</t>
  </si>
  <si>
    <t>Football</t>
  </si>
  <si>
    <t>Alpine Skiing</t>
  </si>
  <si>
    <t>Water Polo</t>
  </si>
  <si>
    <t>Fencing</t>
  </si>
  <si>
    <t>Cycling Road</t>
  </si>
  <si>
    <t>Curling</t>
  </si>
  <si>
    <t>Shooting</t>
  </si>
  <si>
    <t>Freestyle Skiing</t>
  </si>
  <si>
    <t>Archery</t>
  </si>
  <si>
    <t>Rugby</t>
  </si>
  <si>
    <t>Canoe Sprint</t>
  </si>
  <si>
    <t>Cycling BMX</t>
  </si>
  <si>
    <t>Handball</t>
  </si>
  <si>
    <t>Cycling Mountain Bike</t>
  </si>
  <si>
    <t>Short Track Speed Skating</t>
  </si>
  <si>
    <t>Basketball</t>
  </si>
  <si>
    <t>Triathlon</t>
  </si>
  <si>
    <t>Equestrian / Dressage</t>
  </si>
  <si>
    <t>Beach Volleyball</t>
  </si>
  <si>
    <t>Canoe Slalom</t>
  </si>
  <si>
    <t>Volleyball</t>
  </si>
  <si>
    <t>Golf</t>
  </si>
  <si>
    <t>Diving</t>
  </si>
  <si>
    <t>Hockey</t>
  </si>
  <si>
    <t>Sailing</t>
  </si>
  <si>
    <t>Athletics</t>
  </si>
  <si>
    <t>Gymnastics Artistic</t>
  </si>
  <si>
    <t>Judo</t>
  </si>
  <si>
    <t>Biathlon</t>
  </si>
  <si>
    <t>Swimming</t>
  </si>
  <si>
    <t>EYECOLOR</t>
  </si>
  <si>
    <t>BLOODTYPE</t>
  </si>
  <si>
    <t>Green</t>
  </si>
  <si>
    <t>A−</t>
  </si>
  <si>
    <t>Brown</t>
  </si>
  <si>
    <t>O−</t>
  </si>
  <si>
    <t>Amber</t>
  </si>
  <si>
    <t>Blue</t>
  </si>
  <si>
    <t>B−</t>
  </si>
  <si>
    <t>A+</t>
  </si>
  <si>
    <t>O+</t>
  </si>
  <si>
    <t>Gray</t>
  </si>
  <si>
    <t>B+</t>
  </si>
  <si>
    <t>Populate the FULLNAME consisting of the following fields ONLY, in the prescribed format: PREFIX FIRSTNAME LASTNAME. (Note: All UPPERCASE)</t>
  </si>
  <si>
    <t>FULL NAME</t>
  </si>
  <si>
    <t>MEMBER ID</t>
  </si>
  <si>
    <t>COLUMN</t>
  </si>
  <si>
    <t>TASK</t>
  </si>
  <si>
    <t>TASK 1: STANDARDIZING THE DATASET</t>
  </si>
  <si>
    <t>SHEET</t>
  </si>
  <si>
    <t>REPORT</t>
  </si>
  <si>
    <t>COUNTRY NAME</t>
  </si>
  <si>
    <t>Col B</t>
  </si>
  <si>
    <t>Col K</t>
  </si>
  <si>
    <t>Col L</t>
  </si>
  <si>
    <t>We are a part of XYZ Co Pvt Ltd company who is in the business of organizing the sports events at international level. Countries nominate sportsmen from different departments and our team has been given the responsibility to systematize the membership roster and generate different reports as per business requirements.</t>
  </si>
  <si>
    <t>EMAIL</t>
  </si>
  <si>
    <t>SPORTSMEN</t>
  </si>
  <si>
    <t>Get the COUNTRY NAME to which these sportsmen belong to. Make use of LOCATION sheet to get the required data</t>
  </si>
  <si>
    <t>Populate the LANGUAGE spoken by the sportsmen.  Make use of LOCATION sheet to get the required data</t>
  </si>
  <si>
    <t>Col M</t>
  </si>
  <si>
    <t>SPORT LOCATION</t>
  </si>
  <si>
    <t>SALARY</t>
  </si>
  <si>
    <t>Col Q</t>
  </si>
  <si>
    <t>Populate the SPORT LOCATION of the sport played by each player.  Make use of SPORT sheet to get the required data</t>
  </si>
  <si>
    <t>TASK 2: DATA FORMATTING</t>
  </si>
  <si>
    <t>Col A</t>
  </si>
  <si>
    <t>Display MEMBER ID as always 3 digit number (Note: 001, 002…, 020,… etc)</t>
  </si>
  <si>
    <t>Col G</t>
  </si>
  <si>
    <t>WEIGHT</t>
  </si>
  <si>
    <t>Col N</t>
  </si>
  <si>
    <t>Display the units for the WEIGHT column (Prescribed format example: 80 kg)</t>
  </si>
  <si>
    <t>Format the BIRTHDATE as dd mmm' yyyy (Prescribed format example: 09 May' 1986)</t>
  </si>
  <si>
    <t>Col S</t>
  </si>
  <si>
    <r>
      <t xml:space="preserve">Format the SALARY to show the data in thousands. If SALARY is less than 100,000 then display data with 2 decimal places else display data with one decimal place. In both cases units should be thousands (k)
</t>
    </r>
    <r>
      <rPr>
        <u/>
        <sz val="10"/>
        <color theme="2" tint="-0.89999084444715716"/>
        <rFont val="Calibri"/>
        <family val="2"/>
      </rPr>
      <t>e.g.</t>
    </r>
    <r>
      <rPr>
        <sz val="10"/>
        <color theme="2" tint="-0.89999084444715716"/>
        <rFont val="Calibri"/>
        <family val="2"/>
      </rPr>
      <t xml:space="preserve">
87670 --&gt; </t>
    </r>
    <r>
      <rPr>
        <b/>
        <sz val="10"/>
        <color theme="2" tint="-0.89999084444715716"/>
        <rFont val="Calibri"/>
        <family val="2"/>
      </rPr>
      <t>87.67 k</t>
    </r>
    <r>
      <rPr>
        <sz val="10"/>
        <color theme="2" tint="-0.89999084444715716"/>
        <rFont val="Calibri"/>
        <family val="2"/>
      </rPr>
      <t xml:space="preserve"> and 123250 --&gt; </t>
    </r>
    <r>
      <rPr>
        <b/>
        <sz val="10"/>
        <color theme="2" tint="-0.89999084444715716"/>
        <rFont val="Calibri"/>
        <family val="2"/>
      </rPr>
      <t>123.2 k</t>
    </r>
  </si>
  <si>
    <t>STAGE 1
(Data Cleaning)</t>
  </si>
  <si>
    <t>STAGE 2
(Data Analysis)</t>
  </si>
  <si>
    <t>TASK 1: SUMMARIZE DATA - PIVOT TABLE</t>
  </si>
  <si>
    <t>TASK 2: SUMMARIZE DATA - EXCEL FUNCTIONS</t>
  </si>
  <si>
    <t>ANALYSIS</t>
  </si>
  <si>
    <t>RANGE</t>
  </si>
  <si>
    <t>Range B3</t>
  </si>
  <si>
    <t xml:space="preserve">Create a PIVOT table in the worksheet ANALYSIS, starting at cell B3, with the following details: </t>
  </si>
  <si>
    <t>Instructions: Make use of data from SPORTSMEN worksheet after attempting Question 1</t>
  </si>
  <si>
    <t>In COLUMNS; Group : GENDER.</t>
  </si>
  <si>
    <t>In ROWS; Group : COUNTRY (Note: use COUNTRY NAMES)</t>
  </si>
  <si>
    <t>In VALUES; Calculate the count of candidates from each COUNTRY and GENDER type</t>
  </si>
  <si>
    <t>Remove GRAND TOTALs</t>
  </si>
  <si>
    <t>Range G4</t>
  </si>
  <si>
    <t>Range H4:I4</t>
  </si>
  <si>
    <t>Range G5:G16</t>
  </si>
  <si>
    <t>Starting from range RANGE H4; get the distinct GENDER. Use remove duplicates option and transpose the data</t>
  </si>
  <si>
    <t>Starting from range RANGE G5; get the distinct COUNTRY (Note: use COUNTRY NAMES)</t>
  </si>
  <si>
    <t>In the cross table, get the count of candidates from each COUNTRY and GENDER type</t>
  </si>
  <si>
    <t>Range H5:I16</t>
  </si>
  <si>
    <t>STAGE 3
(Generate Report)</t>
  </si>
  <si>
    <t>Create a SUMMARY table in the worksheet ANALYSIS, starting at cell G4, with the following details.</t>
  </si>
  <si>
    <t>Range A3</t>
  </si>
  <si>
    <t>Create a PIVOT table report in the worksheet REPORT, starting at cell A3, with the following information.</t>
  </si>
  <si>
    <t>Change the report layout to TABULAR form</t>
  </si>
  <si>
    <t>Remove expand and collapse buttons</t>
  </si>
  <si>
    <t>Allow user to filter the data by SPORT LOCATION</t>
  </si>
  <si>
    <t>Report should contain MEMBER ID, FULL NAME, EMAIL, GENDER, YEAR OF BIRTH (Note: don't display quarters, months and dates), COUNTRY NAME, LANGUAGE and SPORT played by them</t>
  </si>
  <si>
    <t>Range A1</t>
  </si>
  <si>
    <t>GENERATE REPORT - PIVOT TABLE</t>
  </si>
  <si>
    <r>
      <t xml:space="preserve">Generate the EMAIL ADDRESS for those members, who speak English, in the prescribed format : </t>
    </r>
    <r>
      <rPr>
        <b/>
        <sz val="10"/>
        <color theme="2" tint="-0.89999084444715716"/>
        <rFont val="Calibri"/>
        <family val="2"/>
      </rPr>
      <t>lastname.firstname@xyz.org</t>
    </r>
    <r>
      <rPr>
        <sz val="10"/>
        <color theme="2" tint="-0.89999084444715716"/>
        <rFont val="Calibri"/>
        <family val="2"/>
      </rPr>
      <t xml:space="preserve"> (Note: All lowercase) and for all other members, format should be </t>
    </r>
    <r>
      <rPr>
        <b/>
        <sz val="10"/>
        <color theme="2" tint="-0.89999084444715716"/>
        <rFont val="Calibri"/>
        <family val="2"/>
      </rPr>
      <t xml:space="preserve">lastname.firstname@xyz.com </t>
    </r>
    <r>
      <rPr>
        <sz val="10"/>
        <color theme="2" tint="-0.89999084444715716"/>
        <rFont val="Calibri"/>
        <family val="2"/>
      </rPr>
      <t>(Note: All lowercase)</t>
    </r>
  </si>
  <si>
    <t>Column Labels</t>
  </si>
  <si>
    <t>Row Labels</t>
  </si>
  <si>
    <t>Count of MEMBER ID</t>
  </si>
  <si>
    <t>Gender\ Country</t>
  </si>
  <si>
    <t>Grand Total</t>
  </si>
  <si>
    <t>MS. ANNIE ABBOTT</t>
  </si>
  <si>
    <t>MS. AURELIE LIESUCHKE</t>
  </si>
  <si>
    <t>SR. TOMAS FILHO</t>
  </si>
  <si>
    <t>MS. DARBY CRUICKSHANK</t>
  </si>
  <si>
    <t>DR. JAYDON BORER</t>
  </si>
  <si>
    <t>MR. MORIAH  LYNCH</t>
  </si>
  <si>
    <t>MS. AMIYA EICHMANN</t>
  </si>
  <si>
    <t>MR. PIERCE RAU</t>
  </si>
  <si>
    <t>MS. AMELIA STEVENS</t>
  </si>
  <si>
    <t>MR. TOBY SIMPSON</t>
  </si>
  <si>
    <t>SIR ETHAN MURPHY</t>
  </si>
  <si>
    <t>MRS. ASHLEY WOOD</t>
  </si>
  <si>
    <t>MS. MEGAN SCOTT</t>
  </si>
  <si>
    <t>HR. HELMUT WEINHAE</t>
  </si>
  <si>
    <t>PROF. MILENA SCHOTIN</t>
  </si>
  <si>
    <t>HR. LOTHAR BIRNBAUM</t>
  </si>
  <si>
    <t>HR. PIETRO STOLZE</t>
  </si>
  <si>
    <t>HR. RICHARD  TLUSTEK</t>
  </si>
  <si>
    <t>DR. EARNESTINE RAYNOR</t>
  </si>
  <si>
    <t>MR. JASON GAYLORD</t>
  </si>
  <si>
    <t>MR. KENDRICK SAUER</t>
  </si>
  <si>
    <t>DR. ANNABELL OLSON</t>
  </si>
  <si>
    <t>DR. JENA UPTON</t>
  </si>
  <si>
    <t>DR. SHANNY BINS</t>
  </si>
  <si>
    <t>DR. TIA ABSHIRE</t>
  </si>
  <si>
    <t>MS. ISABEL RUNOLFSDOTTIR</t>
  </si>
  <si>
    <t>HR. BARNEY WESACK</t>
  </si>
  <si>
    <t>HR. BARUCH KADE</t>
  </si>
  <si>
    <t>PROF. LIESBETH ROSEMANN</t>
  </si>
  <si>
    <t>MME. VALENTINE MOREAU</t>
  </si>
  <si>
    <t>MME. PAULETTE DURAND</t>
  </si>
  <si>
    <t>MME. LAURE-ALIX CHEVALIER</t>
  </si>
  <si>
    <t>M. CLAUDE TOUSSAINT</t>
  </si>
  <si>
    <t>M. VICTOR LENOIR</t>
  </si>
  <si>
    <t>M. ARTHUR LENOIR</t>
  </si>
  <si>
    <t>M. BENJAMIN LEBRUN-BRUN</t>
  </si>
  <si>
    <t>M. ANTOINE MAILLARD</t>
  </si>
  <si>
    <t>M. BERNARD HOARAU-GUYON</t>
  </si>
  <si>
    <t>SR. HIDALGO TERCERO</t>
  </si>
  <si>
    <t>SR. HADALGO POLANCO</t>
  </si>
  <si>
    <t>SRA. LAURA OLIVIERA</t>
  </si>
  <si>
    <t>SRA. AINHOA GARZA</t>
  </si>
  <si>
    <t>SRA. ISABEL BANDA</t>
  </si>
  <si>
    <t>SRA. CAROLOTA MATEOS</t>
  </si>
  <si>
    <t>MW. ELIZE PRINS</t>
  </si>
  <si>
    <t>DHR. RYAN PHAM</t>
  </si>
  <si>
    <t>MW ELISE ROTTEVEEL</t>
  </si>
  <si>
    <t>FRU. MIRJAM SODERBERG</t>
  </si>
  <si>
    <t>H. BERNDT PALSSON</t>
  </si>
  <si>
    <t>SR. ADRIANO SOBRINHO</t>
  </si>
  <si>
    <t>abbott.annie@xyz.org</t>
  </si>
  <si>
    <t>liesuchke.aurelie@xyz.org</t>
  </si>
  <si>
    <t>filho.tomas@xyz.com</t>
  </si>
  <si>
    <t>cruickshank.darby@xyz.org</t>
  </si>
  <si>
    <t>borer.jaydon@xyz.org</t>
  </si>
  <si>
    <t>lynch.moriah @xyz.org</t>
  </si>
  <si>
    <t>eichmann.amiya@xyz.org</t>
  </si>
  <si>
    <t>rau.pierce@xyz.org</t>
  </si>
  <si>
    <t>stevens.amelia@xyz.org</t>
  </si>
  <si>
    <t>simpson.toby@xyz.org</t>
  </si>
  <si>
    <t>murphy.ethan@xyz.org</t>
  </si>
  <si>
    <t>wood.ashley@xyz.org</t>
  </si>
  <si>
    <t>scott.megan@xyz.org</t>
  </si>
  <si>
    <t>weinhae.helmut@xyz.com</t>
  </si>
  <si>
    <t>schotin.milena@xyz.com</t>
  </si>
  <si>
    <t>birnbaum.lothar@xyz.com</t>
  </si>
  <si>
    <t>stolze.pietro@xyz.com</t>
  </si>
  <si>
    <t>tlustek.richard @xyz.com</t>
  </si>
  <si>
    <t>raynor.earnestine@xyz.org</t>
  </si>
  <si>
    <t>gaylord.jason@xyz.org</t>
  </si>
  <si>
    <t>sauer.kendrick@xyz.org</t>
  </si>
  <si>
    <t>olson.annabell@xyz.org</t>
  </si>
  <si>
    <t>upton.jena@xyz.org</t>
  </si>
  <si>
    <t>bins.shanny@xyz.org</t>
  </si>
  <si>
    <t>abshire.tia@xyz.org</t>
  </si>
  <si>
    <t>runolfsdottir.isabel@xyz.org</t>
  </si>
  <si>
    <t>wesack.barney@xyz.com</t>
  </si>
  <si>
    <t>kade.baruch@xyz.com</t>
  </si>
  <si>
    <t>rosemann.liesbeth@xyz.com</t>
  </si>
  <si>
    <t>moreau.valentine@xyz.com</t>
  </si>
  <si>
    <t>durand.paulette@xyz.com</t>
  </si>
  <si>
    <t>chevalier.laure-alix@xyz.com</t>
  </si>
  <si>
    <t>toussaint.claude@xyz.com</t>
  </si>
  <si>
    <t>lenoir.victor@xyz.com</t>
  </si>
  <si>
    <t>lenoir.arthur@xyz.com</t>
  </si>
  <si>
    <t>lebrun-brun.benjamin@xyz.com</t>
  </si>
  <si>
    <t>maillard.antoine@xyz.com</t>
  </si>
  <si>
    <t>hoarau-guyon.bernard@xyz.com</t>
  </si>
  <si>
    <t>tercero.hidalgo@xyz.com</t>
  </si>
  <si>
    <t>polanco.hadalgo@xyz.com</t>
  </si>
  <si>
    <t>oliviera.laura@xyz.com</t>
  </si>
  <si>
    <t>garza.ainhoa@xyz.com</t>
  </si>
  <si>
    <t>banda.isabel@xyz.com</t>
  </si>
  <si>
    <t>mateos.carolota@xyz.com</t>
  </si>
  <si>
    <t>prins.elize@xyz.com</t>
  </si>
  <si>
    <t>pham.ryan@xyz.com</t>
  </si>
  <si>
    <t>rotteveel.elise@xyz.com</t>
  </si>
  <si>
    <t>soderberg.mirjam@xyz.com</t>
  </si>
  <si>
    <t>palsson.berndt@xyz.com</t>
  </si>
  <si>
    <t>sobrinho.adriano@xyz.com</t>
  </si>
  <si>
    <t>1997</t>
  </si>
  <si>
    <t>1992</t>
  </si>
  <si>
    <t>1969</t>
  </si>
  <si>
    <t>1975</t>
  </si>
  <si>
    <t>1970</t>
  </si>
  <si>
    <t>1999</t>
  </si>
  <si>
    <t>1963</t>
  </si>
  <si>
    <t>1971</t>
  </si>
  <si>
    <t>1964</t>
  </si>
  <si>
    <t>1986</t>
  </si>
  <si>
    <t>1977</t>
  </si>
  <si>
    <t>1959</t>
  </si>
  <si>
    <t>1965</t>
  </si>
  <si>
    <t>1972</t>
  </si>
  <si>
    <t>1976</t>
  </si>
  <si>
    <t>1996</t>
  </si>
  <si>
    <t>1955</t>
  </si>
  <si>
    <t>1966</t>
  </si>
  <si>
    <t>1978</t>
  </si>
  <si>
    <t>1982</t>
  </si>
  <si>
    <t>1994</t>
  </si>
  <si>
    <t>1979</t>
  </si>
  <si>
    <t>1989</t>
  </si>
  <si>
    <t>1980</t>
  </si>
  <si>
    <t>1981</t>
  </si>
  <si>
    <t>1983</t>
  </si>
  <si>
    <t>1984</t>
  </si>
  <si>
    <t>1988</t>
  </si>
  <si>
    <t>1974</t>
  </si>
  <si>
    <t>1990</t>
  </si>
  <si>
    <t>1960</t>
  </si>
  <si>
    <t>1973</t>
  </si>
  <si>
    <t>1968</t>
  </si>
  <si>
    <t>1987</t>
  </si>
  <si>
    <t>1993</t>
  </si>
  <si>
    <t>Years (BIRTHDATE)</t>
  </si>
  <si>
    <t>Female Total</t>
  </si>
  <si>
    <t>abbott.annie@xyz.org Total</t>
  </si>
  <si>
    <t>MS. ANNIE ABBOTT Total</t>
  </si>
  <si>
    <t>USA Total</t>
  </si>
  <si>
    <t>1 Total</t>
  </si>
  <si>
    <t>liesuchke.aurelie@xyz.org Total</t>
  </si>
  <si>
    <t>MS. AURELIE LIESUCHKE Total</t>
  </si>
  <si>
    <t>2 Total</t>
  </si>
  <si>
    <t>Male Total</t>
  </si>
  <si>
    <t>filho.tomas@xyz.com Total</t>
  </si>
  <si>
    <t>SR. TOMAS FILHO Total</t>
  </si>
  <si>
    <t>BRAZIL Total</t>
  </si>
  <si>
    <t>3 Total</t>
  </si>
  <si>
    <t>cruickshank.darby@xyz.org Total</t>
  </si>
  <si>
    <t>MS. DARBY CRUICKSHANK Total</t>
  </si>
  <si>
    <t>4 Total</t>
  </si>
  <si>
    <t>borer.jaydon@xyz.org Total</t>
  </si>
  <si>
    <t>DR. JAYDON BORER Total</t>
  </si>
  <si>
    <t>5 Total</t>
  </si>
  <si>
    <t>lynch.moriah @xyz.org Total</t>
  </si>
  <si>
    <t>MR. MORIAH  LYNCH Total</t>
  </si>
  <si>
    <t>6 Total</t>
  </si>
  <si>
    <t>eichmann.amiya@xyz.org Total</t>
  </si>
  <si>
    <t>MS. AMIYA EICHMANN Total</t>
  </si>
  <si>
    <t>7 Total</t>
  </si>
  <si>
    <t>rau.pierce@xyz.org Total</t>
  </si>
  <si>
    <t>MR. PIERCE RAU Total</t>
  </si>
  <si>
    <t>8 Total</t>
  </si>
  <si>
    <t>stevens.amelia@xyz.org Total</t>
  </si>
  <si>
    <t>MS. AMELIA STEVENS Total</t>
  </si>
  <si>
    <t>UK Total</t>
  </si>
  <si>
    <t>9 Total</t>
  </si>
  <si>
    <t>simpson.toby@xyz.org Total</t>
  </si>
  <si>
    <t>MR. TOBY SIMPSON Total</t>
  </si>
  <si>
    <t>10 Total</t>
  </si>
  <si>
    <t>murphy.ethan@xyz.org Total</t>
  </si>
  <si>
    <t>SIR ETHAN MURPHY Total</t>
  </si>
  <si>
    <t>11 Total</t>
  </si>
  <si>
    <t>wood.ashley@xyz.org Total</t>
  </si>
  <si>
    <t>MRS. ASHLEY WOOD Total</t>
  </si>
  <si>
    <t>12 Total</t>
  </si>
  <si>
    <t>scott.megan@xyz.org Total</t>
  </si>
  <si>
    <t>MS. MEGAN SCOTT Total</t>
  </si>
  <si>
    <t>13 Total</t>
  </si>
  <si>
    <t>weinhae.helmut@xyz.com Total</t>
  </si>
  <si>
    <t>HR. HELMUT WEINHAE Total</t>
  </si>
  <si>
    <t>GERMANY Total</t>
  </si>
  <si>
    <t>14 Total</t>
  </si>
  <si>
    <t>schotin.milena@xyz.com Total</t>
  </si>
  <si>
    <t>PROF. MILENA SCHOTIN Total</t>
  </si>
  <si>
    <t>15 Total</t>
  </si>
  <si>
    <t>birnbaum.lothar@xyz.com Total</t>
  </si>
  <si>
    <t>HR. LOTHAR BIRNBAUM Total</t>
  </si>
  <si>
    <t>16 Total</t>
  </si>
  <si>
    <t>stolze.pietro@xyz.com Total</t>
  </si>
  <si>
    <t>HR. PIETRO STOLZE Total</t>
  </si>
  <si>
    <t>17 Total</t>
  </si>
  <si>
    <t>tlustek.richard @xyz.com Total</t>
  </si>
  <si>
    <t>HR. RICHARD  TLUSTEK Total</t>
  </si>
  <si>
    <t>18 Total</t>
  </si>
  <si>
    <t>raynor.earnestine@xyz.org Total</t>
  </si>
  <si>
    <t>DR. EARNESTINE RAYNOR Total</t>
  </si>
  <si>
    <t>AUSTRALIA Total</t>
  </si>
  <si>
    <t>19 Total</t>
  </si>
  <si>
    <t>gaylord.jason@xyz.org Total</t>
  </si>
  <si>
    <t>MR. JASON GAYLORD Total</t>
  </si>
  <si>
    <t>20 Total</t>
  </si>
  <si>
    <t>sauer.kendrick@xyz.org Total</t>
  </si>
  <si>
    <t>MR. KENDRICK SAUER Total</t>
  </si>
  <si>
    <t>21 Total</t>
  </si>
  <si>
    <t>olson.annabell@xyz.org Total</t>
  </si>
  <si>
    <t>DR. ANNABELL OLSON Total</t>
  </si>
  <si>
    <t>22 Total</t>
  </si>
  <si>
    <t>upton.jena@xyz.org Total</t>
  </si>
  <si>
    <t>DR. JENA UPTON Total</t>
  </si>
  <si>
    <t>23 Total</t>
  </si>
  <si>
    <t>bins.shanny@xyz.org Total</t>
  </si>
  <si>
    <t>DR. SHANNY BINS Total</t>
  </si>
  <si>
    <t>24 Total</t>
  </si>
  <si>
    <t>abshire.tia@xyz.org Total</t>
  </si>
  <si>
    <t>DR. TIA ABSHIRE Total</t>
  </si>
  <si>
    <t>25 Total</t>
  </si>
  <si>
    <t>runolfsdottir.isabel@xyz.org Total</t>
  </si>
  <si>
    <t>MS. ISABEL RUNOLFSDOTTIR Total</t>
  </si>
  <si>
    <t>26 Total</t>
  </si>
  <si>
    <t>wesack.barney@xyz.com Total</t>
  </si>
  <si>
    <t>HR. BARNEY WESACK Total</t>
  </si>
  <si>
    <t>AUSTRIA Total</t>
  </si>
  <si>
    <t>27 Total</t>
  </si>
  <si>
    <t>kade.baruch@xyz.com Total</t>
  </si>
  <si>
    <t>HR. BARUCH KADE Total</t>
  </si>
  <si>
    <t>28 Total</t>
  </si>
  <si>
    <t>rosemann.liesbeth@xyz.com Total</t>
  </si>
  <si>
    <t>PROF. LIESBETH ROSEMANN Total</t>
  </si>
  <si>
    <t>29 Total</t>
  </si>
  <si>
    <t>moreau.valentine@xyz.com Total</t>
  </si>
  <si>
    <t>MME. VALENTINE MOREAU Total</t>
  </si>
  <si>
    <t>FRANCE Total</t>
  </si>
  <si>
    <t>30 Total</t>
  </si>
  <si>
    <t>durand.paulette@xyz.com Total</t>
  </si>
  <si>
    <t>MME. PAULETTE DURAND Total</t>
  </si>
  <si>
    <t>31 Total</t>
  </si>
  <si>
    <t>chevalier.laure-alix@xyz.com Total</t>
  </si>
  <si>
    <t>MME. LAURE-ALIX CHEVALIER Total</t>
  </si>
  <si>
    <t>32 Total</t>
  </si>
  <si>
    <t>toussaint.claude@xyz.com Total</t>
  </si>
  <si>
    <t>M. CLAUDE TOUSSAINT Total</t>
  </si>
  <si>
    <t>33 Total</t>
  </si>
  <si>
    <t>lenoir.victor@xyz.com Total</t>
  </si>
  <si>
    <t>M. VICTOR LENOIR Total</t>
  </si>
  <si>
    <t>34 Total</t>
  </si>
  <si>
    <t>lenoir.arthur@xyz.com Total</t>
  </si>
  <si>
    <t>M. ARTHUR LENOIR Total</t>
  </si>
  <si>
    <t>35 Total</t>
  </si>
  <si>
    <t>lebrun-brun.benjamin@xyz.com Total</t>
  </si>
  <si>
    <t>M. BENJAMIN LEBRUN-BRUN Total</t>
  </si>
  <si>
    <t>36 Total</t>
  </si>
  <si>
    <t>maillard.antoine@xyz.com Total</t>
  </si>
  <si>
    <t>M. ANTOINE MAILLARD Total</t>
  </si>
  <si>
    <t>37 Total</t>
  </si>
  <si>
    <t>hoarau-guyon.bernard@xyz.com Total</t>
  </si>
  <si>
    <t>M. BERNARD HOARAU-GUYON Total</t>
  </si>
  <si>
    <t>38 Total</t>
  </si>
  <si>
    <t>tercero.hidalgo@xyz.com Total</t>
  </si>
  <si>
    <t>SR. HIDALGO TERCERO Total</t>
  </si>
  <si>
    <t>ARGENTINA Total</t>
  </si>
  <si>
    <t>39 Total</t>
  </si>
  <si>
    <t>polanco.hadalgo@xyz.com Total</t>
  </si>
  <si>
    <t>SR. HADALGO POLANCO Total</t>
  </si>
  <si>
    <t>40 Total</t>
  </si>
  <si>
    <t>oliviera.laura@xyz.com Total</t>
  </si>
  <si>
    <t>SRA. LAURA OLIVIERA Total</t>
  </si>
  <si>
    <t>41 Total</t>
  </si>
  <si>
    <t>garza.ainhoa@xyz.com Total</t>
  </si>
  <si>
    <t>SRA. AINHOA GARZA Total</t>
  </si>
  <si>
    <t>SPAIN Total</t>
  </si>
  <si>
    <t>42 Total</t>
  </si>
  <si>
    <t>banda.isabel@xyz.com Total</t>
  </si>
  <si>
    <t>SRA. ISABEL BANDA Total</t>
  </si>
  <si>
    <t>43 Total</t>
  </si>
  <si>
    <t>mateos.carolota@xyz.com Total</t>
  </si>
  <si>
    <t>SRA. CAROLOTA MATEOS Total</t>
  </si>
  <si>
    <t>44 Total</t>
  </si>
  <si>
    <t>prins.elize@xyz.com Total</t>
  </si>
  <si>
    <t>MW. ELIZE PRINS Total</t>
  </si>
  <si>
    <t>NETHERLANDS Total</t>
  </si>
  <si>
    <t>45 Total</t>
  </si>
  <si>
    <t>pham.ryan@xyz.com Total</t>
  </si>
  <si>
    <t>DHR. RYAN PHAM Total</t>
  </si>
  <si>
    <t>46 Total</t>
  </si>
  <si>
    <t>rotteveel.elise@xyz.com Total</t>
  </si>
  <si>
    <t>MW ELISE ROTTEVEEL Total</t>
  </si>
  <si>
    <t>47 Total</t>
  </si>
  <si>
    <t>soderberg.mirjam@xyz.com Total</t>
  </si>
  <si>
    <t>FRU. MIRJAM SODERBERG Total</t>
  </si>
  <si>
    <t>SWEDEN Total</t>
  </si>
  <si>
    <t>48 Total</t>
  </si>
  <si>
    <t>palsson.berndt@xyz.com Total</t>
  </si>
  <si>
    <t>H. BERNDT PALSSON Total</t>
  </si>
  <si>
    <t>49 Total</t>
  </si>
  <si>
    <t>sobrinho.adriano@xyz.com Total</t>
  </si>
  <si>
    <t>SR. ADRIANO SOBRINHO Total</t>
  </si>
  <si>
    <t>50 Total</t>
  </si>
  <si>
    <t>English Total</t>
  </si>
  <si>
    <t>26-09-1997 Total</t>
  </si>
  <si>
    <t>1997 Total</t>
  </si>
  <si>
    <t>07-02-1992 Total</t>
  </si>
  <si>
    <t>1992 Total</t>
  </si>
  <si>
    <t>Portuguese Total</t>
  </si>
  <si>
    <t>10-07-1969 Total</t>
  </si>
  <si>
    <t>1969 Total</t>
  </si>
  <si>
    <t>18-05-1975 Total</t>
  </si>
  <si>
    <t>1975 Total</t>
  </si>
  <si>
    <t>18-05-1970 Total</t>
  </si>
  <si>
    <t>1970 Total</t>
  </si>
  <si>
    <t>06-12-1992 Total</t>
  </si>
  <si>
    <t>29-07-1999 Total</t>
  </si>
  <si>
    <t>1999 Total</t>
  </si>
  <si>
    <t>10-05-1963 Total</t>
  </si>
  <si>
    <t>1963 Total</t>
  </si>
  <si>
    <t>01-02-1971 Total</t>
  </si>
  <si>
    <t>1971 Total</t>
  </si>
  <si>
    <t>21-12-1964 Total</t>
  </si>
  <si>
    <t>1964 Total</t>
  </si>
  <si>
    <t>17-11-1986 Total</t>
  </si>
  <si>
    <t>1986 Total</t>
  </si>
  <si>
    <t>14-10-1977 Total</t>
  </si>
  <si>
    <t>1977 Total</t>
  </si>
  <si>
    <t>12-02-1977 Total</t>
  </si>
  <si>
    <t>German Total</t>
  </si>
  <si>
    <t>26-08-1959 Total</t>
  </si>
  <si>
    <t>1959 Total</t>
  </si>
  <si>
    <t>03-03-1965 Total</t>
  </si>
  <si>
    <t>1965 Total</t>
  </si>
  <si>
    <t>21-07-1969 Total</t>
  </si>
  <si>
    <t>10-10-1972 Total</t>
  </si>
  <si>
    <t>1972 Total</t>
  </si>
  <si>
    <t>31-08-1959 Total</t>
  </si>
  <si>
    <t>17-05-1977 Total</t>
  </si>
  <si>
    <t>08-01-1976 Total</t>
  </si>
  <si>
    <t>1976 Total</t>
  </si>
  <si>
    <t>22-07-1996 Total</t>
  </si>
  <si>
    <t>1996 Total</t>
  </si>
  <si>
    <t>16-04-1964 Total</t>
  </si>
  <si>
    <t>14-12-1955 Total</t>
  </si>
  <si>
    <t>1955 Total</t>
  </si>
  <si>
    <t>28-08-1999 Total</t>
  </si>
  <si>
    <t>21-07-1966 Total</t>
  </si>
  <si>
    <t>1966 Total</t>
  </si>
  <si>
    <t>21-03-1978 Total</t>
  </si>
  <si>
    <t>1978 Total</t>
  </si>
  <si>
    <t>18-07-1970 Total</t>
  </si>
  <si>
    <t>10-03-1982 Total</t>
  </si>
  <si>
    <t>1982 Total</t>
  </si>
  <si>
    <t>27-01-1994 Total</t>
  </si>
  <si>
    <t>1994 Total</t>
  </si>
  <si>
    <t>French Total</t>
  </si>
  <si>
    <t>09-10-1979 Total</t>
  </si>
  <si>
    <t>1979 Total</t>
  </si>
  <si>
    <t>25-12-1989 Total</t>
  </si>
  <si>
    <t>1989 Total</t>
  </si>
  <si>
    <t>23-12-1970 Total</t>
  </si>
  <si>
    <t>04-11-1980 Total</t>
  </si>
  <si>
    <t>1980 Total</t>
  </si>
  <si>
    <t>16-10-1981 Total</t>
  </si>
  <si>
    <t>1981 Total</t>
  </si>
  <si>
    <t>30-07-1955 Total</t>
  </si>
  <si>
    <t>03-02-1975 Total</t>
  </si>
  <si>
    <t>22-06-1986 Total</t>
  </si>
  <si>
    <t>11-01-1983 Total</t>
  </si>
  <si>
    <t>1983 Total</t>
  </si>
  <si>
    <t>Spanish Total</t>
  </si>
  <si>
    <t>30-11-1984 Total</t>
  </si>
  <si>
    <t>1984 Total</t>
  </si>
  <si>
    <t>20-06-1988 Total</t>
  </si>
  <si>
    <t>1988 Total</t>
  </si>
  <si>
    <t>16-02-1974 Total</t>
  </si>
  <si>
    <t>1974 Total</t>
  </si>
  <si>
    <t>09-03-1990 Total</t>
  </si>
  <si>
    <t>1990 Total</t>
  </si>
  <si>
    <t>12-01-1960 Total</t>
  </si>
  <si>
    <t>1960 Total</t>
  </si>
  <si>
    <t>29-07-1965 Total</t>
  </si>
  <si>
    <t>Dutch Total</t>
  </si>
  <si>
    <t>08-05-1960 Total</t>
  </si>
  <si>
    <t>03-10-1973 Total</t>
  </si>
  <si>
    <t>1973 Total</t>
  </si>
  <si>
    <t>08-04-1968 Total</t>
  </si>
  <si>
    <t>1968 Total</t>
  </si>
  <si>
    <t>Swedish Total</t>
  </si>
  <si>
    <t>17-05-1997 Total</t>
  </si>
  <si>
    <t>24-02-1987 Total</t>
  </si>
  <si>
    <t>1987 Total</t>
  </si>
  <si>
    <t>28-07-1993 Total</t>
  </si>
  <si>
    <t>1993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</si>
</sst>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6" formatCode="000"/>
    <numFmt numFmtId="168" formatCode="dd\ mmm\'\ yyyy"/>
    <numFmt numFmtId="170" formatCode="0.0\ &quot;Kg&quot;"/>
    <numFmt numFmtId="173" formatCode="[&lt;100000]\ 0.00,\ &quot;k&quot;\ ;[&gt;100000]\ 0.0,\ &quot;K&quot;\ "/>
  </numFmts>
  <fonts count="13" x14ac:knownFonts="1">
    <font>
      <sz val="11"/>
      <color theme="1"/>
      <name val="Calibri"/>
      <family val="2"/>
      <scheme val="minor"/>
    </font>
    <font>
      <b/>
      <sz val="10"/>
      <color theme="1"/>
      <name val="Calibri"/>
      <family val="2"/>
    </font>
    <font>
      <b/>
      <sz val="10"/>
      <color theme="9" tint="-0.499984740745262"/>
      <name val="Calibri"/>
      <family val="2"/>
    </font>
    <font>
      <b/>
      <sz val="12"/>
      <color theme="1" tint="0.249977111117893"/>
      <name val="Calibri"/>
      <family val="2"/>
    </font>
    <font>
      <b/>
      <sz val="10"/>
      <color theme="1"/>
      <name val="Calibri"/>
      <family val="2"/>
      <scheme val="minor"/>
    </font>
    <font>
      <b/>
      <i/>
      <sz val="12"/>
      <color theme="1"/>
      <name val="Calibri"/>
      <family val="2"/>
      <scheme val="minor"/>
    </font>
    <font>
      <sz val="10"/>
      <color theme="2" tint="-0.89999084444715716"/>
      <name val="Calibri"/>
      <family val="2"/>
      <scheme val="minor"/>
    </font>
    <font>
      <sz val="10"/>
      <color theme="2" tint="-0.89999084444715716"/>
      <name val="Calibri"/>
      <family val="2"/>
    </font>
    <font>
      <u/>
      <sz val="10"/>
      <color theme="2" tint="-0.89999084444715716"/>
      <name val="Calibri"/>
      <family val="2"/>
    </font>
    <font>
      <b/>
      <sz val="10"/>
      <color theme="2" tint="-0.89999084444715716"/>
      <name val="Calibri"/>
      <family val="2"/>
    </font>
    <font>
      <b/>
      <sz val="12"/>
      <color theme="2" tint="-0.89999084444715716"/>
      <name val="Calibri"/>
      <family val="2"/>
      <scheme val="minor"/>
    </font>
    <font>
      <b/>
      <sz val="16"/>
      <color theme="0"/>
      <name val="Calibri"/>
      <family val="2"/>
      <scheme val="minor"/>
    </font>
    <font>
      <b/>
      <sz val="11"/>
      <color theme="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4" tint="0.399975585192419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right style="medium">
        <color theme="1"/>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medium">
        <color theme="0" tint="-0.34998626667073579"/>
      </right>
      <top style="thin">
        <color theme="0" tint="-0.34998626667073579"/>
      </top>
      <bottom style="double">
        <color theme="0" tint="-0.34998626667073579"/>
      </bottom>
      <diagonal/>
    </border>
    <border>
      <left/>
      <right/>
      <top/>
      <bottom style="medium">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s>
  <cellStyleXfs count="1">
    <xf numFmtId="0" fontId="0" fillId="0" borderId="0"/>
  </cellStyleXfs>
  <cellXfs count="53">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164" fontId="0" fillId="0" borderId="1" xfId="0" applyNumberFormat="1" applyBorder="1"/>
    <xf numFmtId="0" fontId="0" fillId="0" borderId="1" xfId="0" applyBorder="1" applyAlignment="1">
      <alignment horizontal="right"/>
    </xf>
    <xf numFmtId="0" fontId="1" fillId="2" borderId="1" xfId="0" applyFont="1" applyFill="1" applyBorder="1" applyAlignment="1">
      <alignment horizontal="left"/>
    </xf>
    <xf numFmtId="0" fontId="1" fillId="2" borderId="2" xfId="0" applyFont="1" applyFill="1" applyBorder="1" applyAlignment="1">
      <alignment horizontal="left"/>
    </xf>
    <xf numFmtId="164" fontId="1" fillId="2" borderId="1" xfId="0" applyNumberFormat="1" applyFont="1" applyFill="1" applyBorder="1" applyAlignment="1">
      <alignment horizontal="left"/>
    </xf>
    <xf numFmtId="0" fontId="4" fillId="0" borderId="19" xfId="0" applyFont="1" applyBorder="1"/>
    <xf numFmtId="0" fontId="2" fillId="0" borderId="19" xfId="0" applyFont="1" applyBorder="1"/>
    <xf numFmtId="0" fontId="6" fillId="0" borderId="11" xfId="0" applyFont="1" applyBorder="1"/>
    <xf numFmtId="0" fontId="6" fillId="0" borderId="6" xfId="0" applyFont="1" applyBorder="1"/>
    <xf numFmtId="0" fontId="7" fillId="0" borderId="12" xfId="0" applyFont="1" applyBorder="1"/>
    <xf numFmtId="0" fontId="6" fillId="0" borderId="16" xfId="0" applyFont="1" applyBorder="1"/>
    <xf numFmtId="0" fontId="6" fillId="0" borderId="17" xfId="0" applyFont="1" applyBorder="1"/>
    <xf numFmtId="0" fontId="7" fillId="0" borderId="18" xfId="0" applyFont="1" applyBorder="1"/>
    <xf numFmtId="0" fontId="7" fillId="0" borderId="6" xfId="0" applyFont="1" applyBorder="1"/>
    <xf numFmtId="0" fontId="7" fillId="0" borderId="17" xfId="0" applyFont="1" applyBorder="1" applyAlignment="1">
      <alignment horizontal="left" vertical="center" wrapText="1"/>
    </xf>
    <xf numFmtId="0" fontId="6" fillId="0" borderId="21" xfId="0" applyFont="1" applyBorder="1"/>
    <xf numFmtId="0" fontId="10" fillId="6" borderId="7" xfId="0" applyFont="1" applyFill="1" applyBorder="1"/>
    <xf numFmtId="0" fontId="0" fillId="3" borderId="0" xfId="0" applyFill="1"/>
    <xf numFmtId="0" fontId="0" fillId="3" borderId="0" xfId="0" applyFill="1" applyAlignment="1">
      <alignment horizontal="left"/>
    </xf>
    <xf numFmtId="0" fontId="5" fillId="3" borderId="0" xfId="0" applyFont="1" applyFill="1" applyAlignment="1">
      <alignment horizontal="left" vertical="center" indent="1"/>
    </xf>
    <xf numFmtId="14" fontId="1" fillId="2" borderId="1" xfId="0" applyNumberFormat="1" applyFont="1" applyFill="1" applyBorder="1" applyAlignment="1">
      <alignment horizontal="left"/>
    </xf>
    <xf numFmtId="14" fontId="0" fillId="0" borderId="1" xfId="0" applyNumberFormat="1" applyBorder="1" applyAlignment="1">
      <alignment horizontal="right"/>
    </xf>
    <xf numFmtId="14" fontId="0" fillId="0" borderId="0" xfId="0" applyNumberFormat="1"/>
    <xf numFmtId="0" fontId="7" fillId="0" borderId="6" xfId="0" applyFont="1" applyBorder="1" applyAlignment="1">
      <alignment wrapText="1"/>
    </xf>
    <xf numFmtId="0" fontId="6" fillId="0" borderId="5" xfId="0" applyFont="1" applyBorder="1"/>
    <xf numFmtId="0" fontId="6" fillId="0" borderId="15" xfId="0" applyFont="1" applyBorder="1"/>
    <xf numFmtId="0" fontId="7" fillId="0" borderId="5" xfId="0" applyFont="1" applyBorder="1"/>
    <xf numFmtId="0" fontId="7" fillId="0" borderId="12" xfId="0" applyFont="1" applyBorder="1" applyAlignment="1">
      <alignment vertical="center" wrapText="1"/>
    </xf>
    <xf numFmtId="0" fontId="1" fillId="2" borderId="6" xfId="0" applyFont="1" applyFill="1" applyBorder="1"/>
    <xf numFmtId="0" fontId="0" fillId="0" borderId="6" xfId="0" applyBorder="1" applyAlignment="1">
      <alignment horizontal="left"/>
    </xf>
    <xf numFmtId="0" fontId="0" fillId="0" borderId="6" xfId="0" applyBorder="1"/>
    <xf numFmtId="0" fontId="0" fillId="0" borderId="0" xfId="0" pivotButton="1"/>
    <xf numFmtId="0" fontId="3" fillId="6" borderId="0" xfId="0" applyFont="1" applyFill="1" applyAlignment="1">
      <alignment horizontal="left"/>
    </xf>
    <xf numFmtId="0" fontId="3" fillId="6" borderId="14" xfId="0" applyFont="1" applyFill="1" applyBorder="1" applyAlignment="1">
      <alignment horizontal="left"/>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5" fillId="4" borderId="3" xfId="0" applyFont="1" applyFill="1" applyBorder="1" applyAlignment="1">
      <alignment horizontal="left" vertical="center" wrapText="1" indent="1"/>
    </xf>
    <xf numFmtId="0" fontId="5" fillId="4" borderId="4" xfId="0" applyFont="1" applyFill="1" applyBorder="1" applyAlignment="1">
      <alignment horizontal="left" vertical="center" wrapText="1" indent="1"/>
    </xf>
    <xf numFmtId="166" fontId="0" fillId="0" borderId="1" xfId="0" applyNumberFormat="1" applyBorder="1"/>
    <xf numFmtId="168" fontId="0" fillId="0" borderId="1" xfId="0" applyNumberFormat="1" applyBorder="1" applyAlignment="1">
      <alignment horizontal="right"/>
    </xf>
    <xf numFmtId="170" fontId="0" fillId="0" borderId="1" xfId="0" applyNumberFormat="1" applyBorder="1"/>
    <xf numFmtId="173" fontId="0" fillId="0" borderId="1" xfId="0" applyNumberFormat="1" applyBorder="1"/>
    <xf numFmtId="0" fontId="12" fillId="7" borderId="1" xfId="0" applyFont="1" applyFill="1" applyBorder="1"/>
    <xf numFmtId="0" fontId="12" fillId="7" borderId="1" xfId="0" applyFont="1" applyFill="1" applyBorder="1" applyAlignment="1">
      <alignment wrapTex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hard" refreshedDate="46022.590382291666" createdVersion="8" refreshedVersion="8" minRefreshableVersion="3" recordCount="50" xr:uid="{C502CF8D-E0CC-487E-AE23-A6D34DA80795}">
  <cacheSource type="worksheet">
    <worksheetSource ref="A1:S51" sheet="SPORTSMEN"/>
  </cacheSource>
  <cacheFields count="22">
    <cacheField name="MEMBER ID"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FULL NAME" numFmtId="0">
      <sharedItems count="50">
        <s v="MS. ANNIE ABBOTT"/>
        <s v="MS. AURELIE LIESUCHKE"/>
        <s v="SR. TOMAS FILHO"/>
        <s v="MS. DARBY CRUICKSHANK"/>
        <s v="DR. JAYDON BORER"/>
        <s v="MR. MORIAH  LYNCH"/>
        <s v="MS. AMIYA EICHMANN"/>
        <s v="MR. PIERCE RAU"/>
        <s v="MS. AMELIA STEVENS"/>
        <s v="MR. TOBY SIMPSON"/>
        <s v="SIR ETHAN MURPHY"/>
        <s v="MRS. ASHLEY WOOD"/>
        <s v="MS. MEGAN SCOTT"/>
        <s v="HR. HELMUT WEINHAE"/>
        <s v="PROF. MILENA SCHOTIN"/>
        <s v="HR. LOTHAR BIRNBAUM"/>
        <s v="HR. PIETRO STOLZE"/>
        <s v="HR. RICHARD  TLUSTEK"/>
        <s v="DR. EARNESTINE RAYNOR"/>
        <s v="MR. JASON GAYLORD"/>
        <s v="MR. KENDRICK SAUER"/>
        <s v="DR. ANNABELL OLSON"/>
        <s v="DR. JENA UPTON"/>
        <s v="DR. SHANNY BINS"/>
        <s v="DR. TIA ABSHIRE"/>
        <s v="MS. ISABEL RUNOLFSDOTTIR"/>
        <s v="HR. BARNEY WESACK"/>
        <s v="HR. BARUCH KADE"/>
        <s v="PROF. LIESBETH ROSEMANN"/>
        <s v="MME. VALENTINE MOREAU"/>
        <s v="MME. PAULETTE DURAND"/>
        <s v="MME. LAURE-ALIX CHEVALIER"/>
        <s v="M. CLAUDE TOUSSAINT"/>
        <s v="M. VICTOR LENOIR"/>
        <s v="M. ARTHUR LENOIR"/>
        <s v="M. BENJAMIN LEBRUN-BRUN"/>
        <s v="M. ANTOINE MAILLARD"/>
        <s v="M. BERNARD HOARAU-GUYON"/>
        <s v="SR. HIDALGO TERCERO"/>
        <s v="SR. HADALGO POLANCO"/>
        <s v="SRA. LAURA OLIVIERA"/>
        <s v="SRA. AINHOA GARZA"/>
        <s v="SRA. ISABEL BANDA"/>
        <s v="SRA. CAROLOTA MATEOS"/>
        <s v="MW. ELIZE PRINS"/>
        <s v="DHR. RYAN PHAM"/>
        <s v="MW ELISE ROTTEVEEL"/>
        <s v="FRU. MIRJAM SODERBERG"/>
        <s v="H. BERNDT PALSSON"/>
        <s v="SR. ADRIANO SOBRINHO"/>
      </sharedItems>
    </cacheField>
    <cacheField name="PREFIX" numFmtId="0">
      <sharedItems/>
    </cacheField>
    <cacheField name="FIRSTNAME" numFmtId="0">
      <sharedItems/>
    </cacheField>
    <cacheField name="MIDDLENAME" numFmtId="0">
      <sharedItems containsBlank="1"/>
    </cacheField>
    <cacheField name="LASTNAME" numFmtId="0">
      <sharedItems/>
    </cacheField>
    <cacheField name="BIRTHDATE" numFmtId="14">
      <sharedItems containsSemiMixedTypes="0" containsNonDate="0" containsDate="1" containsString="0" minDate="1955-07-30T00:00:00" maxDate="1999-08-29T00:00:00" count="50">
        <d v="1997-09-26T00:00:00"/>
        <d v="1992-02-07T00:00:00"/>
        <d v="1969-07-10T00:00:00"/>
        <d v="1975-05-18T00:00:00"/>
        <d v="1970-05-18T00:00:00"/>
        <d v="1992-12-06T00:00:00"/>
        <d v="1999-07-29T00:00:00"/>
        <d v="1963-05-10T00:00:00"/>
        <d v="1971-02-01T00:00:00"/>
        <d v="1964-12-21T00:00:00"/>
        <d v="1986-11-17T00:00:00"/>
        <d v="1977-10-14T00:00:00"/>
        <d v="1977-02-12T00:00:00"/>
        <d v="1959-08-26T00:00:00"/>
        <d v="1965-03-03T00:00:00"/>
        <d v="1969-07-21T00:00:00"/>
        <d v="1972-10-10T00:00:00"/>
        <d v="1959-08-31T00:00:00"/>
        <d v="1977-05-17T00:00:00"/>
        <d v="1976-01-08T00:00:00"/>
        <d v="1996-07-22T00:00:00"/>
        <d v="1964-04-16T00:00:00"/>
        <d v="1955-12-14T00:00:00"/>
        <d v="1999-08-28T00:00:00"/>
        <d v="1966-07-21T00:00:00"/>
        <d v="1978-03-21T00:00:00"/>
        <d v="1970-07-18T00:00:00"/>
        <d v="1982-03-10T00:00:00"/>
        <d v="1994-01-27T00:00:00"/>
        <d v="1979-10-09T00:00:00"/>
        <d v="1989-12-25T00:00:00"/>
        <d v="1970-12-23T00:00:00"/>
        <d v="1980-11-04T00:00:00"/>
        <d v="1981-10-16T00:00:00"/>
        <d v="1955-07-30T00:00:00"/>
        <d v="1975-02-03T00:00:00"/>
        <d v="1986-06-22T00:00:00"/>
        <d v="1983-01-11T00:00:00"/>
        <d v="1984-11-30T00:00:00"/>
        <d v="1988-06-20T00:00:00"/>
        <d v="1974-02-16T00:00:00"/>
        <d v="1990-03-09T00:00:00"/>
        <d v="1960-01-12T00:00:00"/>
        <d v="1965-07-29T00:00:00"/>
        <d v="1960-05-08T00:00:00"/>
        <d v="1973-10-03T00:00:00"/>
        <d v="1968-04-08T00:00:00"/>
        <d v="1997-05-17T00:00:00"/>
        <d v="1987-02-24T00:00:00"/>
        <d v="1993-07-28T00:00:00"/>
      </sharedItems>
      <fieldGroup par="21"/>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ount="7">
        <s v="English"/>
        <s v="Portuguese"/>
        <s v="German"/>
        <s v="French"/>
        <s v="Spanish"/>
        <s v="Dutch"/>
        <s v="Swedish"/>
      </sharedItems>
    </cacheField>
    <cacheField name="EMAIL" numFmtId="0">
      <sharedItems count="50">
        <s v="abbott.annie@xyz.org"/>
        <s v="liesuchke.aurelie@xyz.org"/>
        <s v="filho.tomas@xyz.com"/>
        <s v="cruickshank.darby@xyz.org"/>
        <s v="borer.jaydon@xyz.org"/>
        <s v="lynch.moriah @xyz.org"/>
        <s v="eichmann.amiya@xyz.org"/>
        <s v="rau.pierce@xyz.org"/>
        <s v="stevens.amelia@xyz.org"/>
        <s v="simpson.toby@xyz.org"/>
        <s v="murphy.ethan@xyz.org"/>
        <s v="wood.ashley@xyz.org"/>
        <s v="scott.megan@xyz.org"/>
        <s v="weinhae.helmut@xyz.com"/>
        <s v="schotin.milena@xyz.com"/>
        <s v="birnbaum.lothar@xyz.com"/>
        <s v="stolze.pietro@xyz.com"/>
        <s v="tlustek.richard @xyz.com"/>
        <s v="raynor.earnestine@xyz.org"/>
        <s v="gaylord.jason@xyz.org"/>
        <s v="sauer.kendrick@xyz.org"/>
        <s v="olson.annabell@xyz.org"/>
        <s v="upton.jena@xyz.org"/>
        <s v="bins.shanny@xyz.org"/>
        <s v="abshire.tia@xyz.org"/>
        <s v="runolfsdottir.isabel@xyz.org"/>
        <s v="wesack.barney@xyz.com"/>
        <s v="kade.baruch@xyz.com"/>
        <s v="rosemann.liesbeth@xyz.com"/>
        <s v="moreau.valentine@xyz.com"/>
        <s v="durand.paulette@xyz.com"/>
        <s v="chevalier.laure-alix@xyz.com"/>
        <s v="toussaint.claude@xyz.com"/>
        <s v="lenoir.victor@xyz.com"/>
        <s v="lenoir.arthur@xyz.com"/>
        <s v="lebrun-brun.benjamin@xyz.com"/>
        <s v="maillard.antoine@xyz.com"/>
        <s v="hoarau-guyon.bernard@xyz.com"/>
        <s v="tercero.hidalgo@xyz.com"/>
        <s v="polanco.hadalgo@xyz.com"/>
        <s v="oliviera.laura@xyz.com"/>
        <s v="garza.ainhoa@xyz.com"/>
        <s v="banda.isabel@xyz.com"/>
        <s v="mateos.carolota@xyz.com"/>
        <s v="prins.elize@xyz.com"/>
        <s v="pham.ryan@xyz.com"/>
        <s v="rotteveel.elise@xyz.com"/>
        <s v="soderberg.mirjam@xyz.com"/>
        <s v="palsson.berndt@xyz.com"/>
        <s v="sobrinho.adriano@xyz.com"/>
      </sharedItems>
    </cacheField>
    <cacheField name="WEIGHT" numFmtId="164">
      <sharedItems containsSemiMixedTypes="0" containsString="0" containsNumber="1" minValue="45.9" maxValue="105.9"/>
    </cacheField>
    <cacheField name="EYECOLOR" numFmtId="0">
      <sharedItems/>
    </cacheField>
    <cacheField name="BLOODTYPE" numFmtId="0">
      <sharedItems/>
    </cacheField>
    <cacheField name="SPORT LOCATION" numFmtId="0">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0">
      <sharedItems containsSemiMixedTypes="0" containsString="0" containsNumber="1" containsInteger="1" minValue="10241" maxValue="117408"/>
    </cacheField>
    <cacheField name="Months (BIRTHDATE)" numFmtId="0" databaseField="0">
      <fieldGroup base="6">
        <rangePr groupBy="months" startDate="1955-07-30T00:00:00" endDate="1999-08-29T00:00:00"/>
        <groupItems count="14">
          <s v="&lt;30-07-1955"/>
          <s v="Jan"/>
          <s v="Feb"/>
          <s v="Mar"/>
          <s v="Apr"/>
          <s v="May"/>
          <s v="Jun"/>
          <s v="Jul"/>
          <s v="Aug"/>
          <s v="Sep"/>
          <s v="Oct"/>
          <s v="Nov"/>
          <s v="Dec"/>
          <s v="&gt;29-08-1999"/>
        </groupItems>
      </fieldGroup>
    </cacheField>
    <cacheField name="Quarters (BIRTHDATE)" numFmtId="0" databaseField="0">
      <fieldGroup base="6">
        <rangePr groupBy="quarters" startDate="1955-07-30T00:00:00" endDate="1999-08-29T00:00:00"/>
        <groupItems count="6">
          <s v="&lt;30-07-1955"/>
          <s v="Qtr1"/>
          <s v="Qtr2"/>
          <s v="Qtr3"/>
          <s v="Qtr4"/>
          <s v="&gt;29-08-1999"/>
        </groupItems>
      </fieldGroup>
    </cacheField>
    <cacheField name="Years (BIRTHDATE)" numFmtId="0" databaseField="0">
      <fieldGroup base="6">
        <rangePr groupBy="years" startDate="1955-07-30T00:00:00" endDate="1999-08-29T00:00:00"/>
        <groupItems count="47">
          <s v="&lt;30-07-1955"/>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gt;29-08-199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Ms."/>
    <s v="Annie"/>
    <m/>
    <s v="Abbott"/>
    <x v="0"/>
    <s v="Libra"/>
    <x v="0"/>
    <s v="US"/>
    <x v="0"/>
    <x v="0"/>
    <x v="0"/>
    <n v="94"/>
    <s v="Green"/>
    <s v="A−"/>
    <s v="INDOOR"/>
    <x v="0"/>
    <n v="80727"/>
  </r>
  <r>
    <x v="1"/>
    <x v="1"/>
    <s v="Ms."/>
    <s v="Aurelie"/>
    <m/>
    <s v="Liesuchke"/>
    <x v="1"/>
    <s v="Aquarius"/>
    <x v="0"/>
    <s v="US"/>
    <x v="0"/>
    <x v="0"/>
    <x v="1"/>
    <n v="84.2"/>
    <s v="Brown"/>
    <s v="O−"/>
    <s v="INDOOR"/>
    <x v="1"/>
    <n v="87471"/>
  </r>
  <r>
    <x v="2"/>
    <x v="2"/>
    <s v="Sr."/>
    <s v="Tomas"/>
    <s v="Ferreira"/>
    <s v="Filho"/>
    <x v="2"/>
    <s v="Cancer"/>
    <x v="1"/>
    <s v="BR"/>
    <x v="1"/>
    <x v="1"/>
    <x v="2"/>
    <n v="52.9"/>
    <s v="Amber"/>
    <s v="A−"/>
    <s v="OUTDOOR"/>
    <x v="2"/>
    <n v="64724"/>
  </r>
  <r>
    <x v="3"/>
    <x v="3"/>
    <s v="Ms."/>
    <s v="Darby"/>
    <m/>
    <s v="Cruickshank"/>
    <x v="3"/>
    <s v="Taurus"/>
    <x v="0"/>
    <s v="US"/>
    <x v="0"/>
    <x v="0"/>
    <x v="3"/>
    <n v="48.9"/>
    <s v="Green"/>
    <s v="O−"/>
    <s v="OUTDOOR"/>
    <x v="3"/>
    <n v="110823"/>
  </r>
  <r>
    <x v="4"/>
    <x v="4"/>
    <s v="Dr."/>
    <s v="Jaydon"/>
    <m/>
    <s v="Borer"/>
    <x v="4"/>
    <s v="Taurus"/>
    <x v="1"/>
    <s v="US"/>
    <x v="0"/>
    <x v="0"/>
    <x v="4"/>
    <n v="84.8"/>
    <s v="Blue"/>
    <s v="B−"/>
    <s v="INDOOR"/>
    <x v="4"/>
    <n v="56916"/>
  </r>
  <r>
    <x v="5"/>
    <x v="5"/>
    <s v="Mr."/>
    <s v="Moriah "/>
    <m/>
    <s v="Lynch"/>
    <x v="5"/>
    <s v="Sagittarius"/>
    <x v="1"/>
    <s v="US"/>
    <x v="0"/>
    <x v="0"/>
    <x v="5"/>
    <n v="83.2"/>
    <s v="Blue"/>
    <s v="O−"/>
    <s v="INDOOR"/>
    <x v="5"/>
    <n v="51133"/>
  </r>
  <r>
    <x v="6"/>
    <x v="6"/>
    <s v="Ms."/>
    <s v="Amiya"/>
    <m/>
    <s v="Eichmann"/>
    <x v="6"/>
    <s v="Leo"/>
    <x v="0"/>
    <s v="US"/>
    <x v="0"/>
    <x v="0"/>
    <x v="6"/>
    <n v="61.1"/>
    <s v="Blue"/>
    <s v="B−"/>
    <s v="OUTDOOR"/>
    <x v="6"/>
    <n v="65465"/>
  </r>
  <r>
    <x v="7"/>
    <x v="7"/>
    <s v="Mr."/>
    <s v="Pierce"/>
    <m/>
    <s v="Rau"/>
    <x v="7"/>
    <s v="Taurus"/>
    <x v="1"/>
    <s v="US"/>
    <x v="0"/>
    <x v="0"/>
    <x v="7"/>
    <n v="105.7"/>
    <s v="Amber"/>
    <s v="A+"/>
    <s v="INDOOR"/>
    <x v="7"/>
    <n v="109885"/>
  </r>
  <r>
    <x v="8"/>
    <x v="8"/>
    <s v="Ms."/>
    <s v="Amelia"/>
    <m/>
    <s v="Stevens"/>
    <x v="8"/>
    <s v="Aquarius"/>
    <x v="0"/>
    <s v="GB"/>
    <x v="2"/>
    <x v="0"/>
    <x v="8"/>
    <n v="65.3"/>
    <s v="Blue"/>
    <s v="A+"/>
    <s v="INDOOR"/>
    <x v="8"/>
    <n v="60061"/>
  </r>
  <r>
    <x v="9"/>
    <x v="9"/>
    <s v="Mr."/>
    <s v="Toby"/>
    <m/>
    <s v="Simpson"/>
    <x v="9"/>
    <s v="Sagittarius"/>
    <x v="1"/>
    <s v="GB"/>
    <x v="2"/>
    <x v="0"/>
    <x v="9"/>
    <n v="62.9"/>
    <s v="Amber"/>
    <s v="O+"/>
    <s v="OUTDOOR"/>
    <x v="6"/>
    <n v="32758"/>
  </r>
  <r>
    <x v="10"/>
    <x v="10"/>
    <s v="Sir"/>
    <s v="Ethan"/>
    <m/>
    <s v="Murphy"/>
    <x v="10"/>
    <s v="Scorpio"/>
    <x v="1"/>
    <s v="GB"/>
    <x v="2"/>
    <x v="0"/>
    <x v="10"/>
    <n v="104.3"/>
    <s v="Brown"/>
    <s v="O+"/>
    <s v="OUTDOOR"/>
    <x v="9"/>
    <n v="99613"/>
  </r>
  <r>
    <x v="11"/>
    <x v="11"/>
    <s v="Mrs."/>
    <s v="Ashley"/>
    <m/>
    <s v="Wood"/>
    <x v="11"/>
    <s v="Libra"/>
    <x v="0"/>
    <s v="GB"/>
    <x v="2"/>
    <x v="0"/>
    <x v="11"/>
    <n v="100.7"/>
    <s v="Brown"/>
    <s v="O+"/>
    <s v="OUTDOOR"/>
    <x v="10"/>
    <n v="56595"/>
  </r>
  <r>
    <x v="12"/>
    <x v="12"/>
    <s v="Ms."/>
    <s v="Megan"/>
    <m/>
    <s v="Scott"/>
    <x v="12"/>
    <s v="Aquarius"/>
    <x v="0"/>
    <s v="GB"/>
    <x v="2"/>
    <x v="0"/>
    <x v="12"/>
    <n v="70.900000000000006"/>
    <s v="Green"/>
    <s v="A−"/>
    <s v="OUTDOOR"/>
    <x v="11"/>
    <n v="117408"/>
  </r>
  <r>
    <x v="13"/>
    <x v="13"/>
    <s v="Hr."/>
    <s v="Helmut"/>
    <m/>
    <s v="Weinhae"/>
    <x v="13"/>
    <s v="Virgo"/>
    <x v="1"/>
    <s v="DE"/>
    <x v="3"/>
    <x v="2"/>
    <x v="13"/>
    <n v="68.3"/>
    <s v="Gray"/>
    <s v="A+"/>
    <s v="OUTDOOR"/>
    <x v="12"/>
    <n v="64862"/>
  </r>
  <r>
    <x v="14"/>
    <x v="14"/>
    <s v="Prof."/>
    <s v="Milena"/>
    <m/>
    <s v="Schotin"/>
    <x v="14"/>
    <s v="Pisces"/>
    <x v="0"/>
    <s v="DE"/>
    <x v="3"/>
    <x v="2"/>
    <x v="14"/>
    <n v="105.3"/>
    <s v="Gray"/>
    <s v="O+"/>
    <s v="INDOOR"/>
    <x v="13"/>
    <n v="10241"/>
  </r>
  <r>
    <x v="15"/>
    <x v="15"/>
    <s v="Hr."/>
    <s v="Lothar"/>
    <m/>
    <s v="Birnbaum"/>
    <x v="15"/>
    <s v="Cancer"/>
    <x v="1"/>
    <s v="DE"/>
    <x v="3"/>
    <x v="2"/>
    <x v="15"/>
    <n v="48.6"/>
    <s v="Blue"/>
    <s v="O+"/>
    <s v="OUTDOOR"/>
    <x v="3"/>
    <n v="88762"/>
  </r>
  <r>
    <x v="16"/>
    <x v="16"/>
    <s v="Hr."/>
    <s v="Pietro"/>
    <m/>
    <s v="Stolze"/>
    <x v="16"/>
    <s v="Libra"/>
    <x v="1"/>
    <s v="DE"/>
    <x v="3"/>
    <x v="2"/>
    <x v="16"/>
    <n v="105.9"/>
    <s v="Blue"/>
    <s v="A−"/>
    <s v="INDOOR"/>
    <x v="14"/>
    <n v="80757"/>
  </r>
  <r>
    <x v="17"/>
    <x v="17"/>
    <s v="Hr."/>
    <s v="Richard "/>
    <m/>
    <s v="Tlustek"/>
    <x v="17"/>
    <s v="Virgo"/>
    <x v="1"/>
    <s v="DE"/>
    <x v="3"/>
    <x v="2"/>
    <x v="17"/>
    <n v="71.099999999999994"/>
    <s v="Blue"/>
    <s v="A−"/>
    <s v="OUTDOOR"/>
    <x v="15"/>
    <n v="88794"/>
  </r>
  <r>
    <x v="18"/>
    <x v="18"/>
    <s v="Dr."/>
    <s v="Earnestine"/>
    <m/>
    <s v="Raynor"/>
    <x v="18"/>
    <s v="Taurus"/>
    <x v="0"/>
    <s v="OZ"/>
    <x v="4"/>
    <x v="0"/>
    <x v="18"/>
    <n v="70.3"/>
    <s v="Blue"/>
    <s v="A+"/>
    <s v="INDOOR"/>
    <x v="16"/>
    <n v="63526"/>
  </r>
  <r>
    <x v="19"/>
    <x v="19"/>
    <s v="Mr."/>
    <s v="Jason"/>
    <m/>
    <s v="Gaylord"/>
    <x v="19"/>
    <s v="Capricorn"/>
    <x v="1"/>
    <s v="OZ"/>
    <x v="4"/>
    <x v="0"/>
    <x v="19"/>
    <n v="54.7"/>
    <s v="Brown"/>
    <s v="O−"/>
    <s v="INDOOR"/>
    <x v="17"/>
    <n v="46352"/>
  </r>
  <r>
    <x v="20"/>
    <x v="20"/>
    <s v="Mr."/>
    <s v="Kendrick"/>
    <m/>
    <s v="Sauer"/>
    <x v="20"/>
    <s v="Cancer"/>
    <x v="1"/>
    <s v="OZ"/>
    <x v="4"/>
    <x v="0"/>
    <x v="20"/>
    <n v="100.9"/>
    <s v="Blue"/>
    <s v="B−"/>
    <s v="OUTDOOR"/>
    <x v="18"/>
    <n v="106808"/>
  </r>
  <r>
    <x v="21"/>
    <x v="21"/>
    <s v="Dr."/>
    <s v="Annabell"/>
    <m/>
    <s v="Olson"/>
    <x v="21"/>
    <s v="Aries"/>
    <x v="0"/>
    <s v="OZ"/>
    <x v="4"/>
    <x v="0"/>
    <x v="21"/>
    <n v="84.3"/>
    <s v="Green"/>
    <s v="A+"/>
    <s v="OUTDOOR"/>
    <x v="19"/>
    <n v="96468"/>
  </r>
  <r>
    <x v="22"/>
    <x v="22"/>
    <s v="Dr."/>
    <s v="Jena"/>
    <m/>
    <s v="Upton"/>
    <x v="22"/>
    <s v="Sagittarius"/>
    <x v="0"/>
    <s v="OZ"/>
    <x v="4"/>
    <x v="0"/>
    <x v="22"/>
    <n v="66.8"/>
    <s v="Blue"/>
    <s v="O+"/>
    <s v="OUTDOOR"/>
    <x v="20"/>
    <n v="16526"/>
  </r>
  <r>
    <x v="23"/>
    <x v="23"/>
    <s v="Dr."/>
    <s v="Shanny"/>
    <m/>
    <s v="Bins"/>
    <x v="23"/>
    <s v="Virgo"/>
    <x v="0"/>
    <s v="OZ"/>
    <x v="4"/>
    <x v="0"/>
    <x v="23"/>
    <n v="59.4"/>
    <s v="Amber"/>
    <s v="B−"/>
    <s v="OUTDOOR"/>
    <x v="21"/>
    <n v="21891"/>
  </r>
  <r>
    <x v="24"/>
    <x v="24"/>
    <s v="Dr."/>
    <s v="Tia"/>
    <m/>
    <s v="Abshire"/>
    <x v="24"/>
    <s v="Cancer"/>
    <x v="0"/>
    <s v="OZ"/>
    <x v="4"/>
    <x v="0"/>
    <x v="24"/>
    <n v="77.8"/>
    <s v="Amber"/>
    <s v="A+"/>
    <s v="OUTDOOR"/>
    <x v="6"/>
    <n v="62037"/>
  </r>
  <r>
    <x v="25"/>
    <x v="25"/>
    <s v="Ms."/>
    <s v="Isabel"/>
    <m/>
    <s v="Runolfsdottir"/>
    <x v="25"/>
    <s v="Aries"/>
    <x v="0"/>
    <s v="OZ"/>
    <x v="4"/>
    <x v="0"/>
    <x v="25"/>
    <n v="85.9"/>
    <s v="Blue"/>
    <s v="B+"/>
    <s v="INDOOR"/>
    <x v="0"/>
    <n v="89737"/>
  </r>
  <r>
    <x v="26"/>
    <x v="26"/>
    <s v="Hr."/>
    <s v="Barney"/>
    <m/>
    <s v="Wesack"/>
    <x v="26"/>
    <s v="Cancer"/>
    <x v="1"/>
    <s v="AU"/>
    <x v="5"/>
    <x v="2"/>
    <x v="26"/>
    <n v="93.4"/>
    <s v="Amber"/>
    <s v="B+"/>
    <s v="INDOOR"/>
    <x v="22"/>
    <n v="41039"/>
  </r>
  <r>
    <x v="27"/>
    <x v="27"/>
    <s v="Hr."/>
    <s v="Baruch"/>
    <m/>
    <s v="Kade"/>
    <x v="27"/>
    <s v="Pisces"/>
    <x v="1"/>
    <s v="AU"/>
    <x v="5"/>
    <x v="2"/>
    <x v="27"/>
    <n v="95.5"/>
    <s v="Gray"/>
    <s v="O−"/>
    <s v="OUTDOOR"/>
    <x v="11"/>
    <n v="28458"/>
  </r>
  <r>
    <x v="28"/>
    <x v="28"/>
    <s v="Prof."/>
    <s v="Liesbeth"/>
    <m/>
    <s v="Rosemann"/>
    <x v="28"/>
    <s v="Aquarius"/>
    <x v="0"/>
    <s v="AU"/>
    <x v="5"/>
    <x v="2"/>
    <x v="28"/>
    <n v="52.2"/>
    <s v="Blue"/>
    <s v="O+"/>
    <s v="OUTDOOR"/>
    <x v="6"/>
    <n v="55007"/>
  </r>
  <r>
    <x v="29"/>
    <x v="29"/>
    <s v="Mme."/>
    <s v="Valentine"/>
    <m/>
    <s v="Moreau"/>
    <x v="29"/>
    <s v="Libra"/>
    <x v="0"/>
    <s v="FR"/>
    <x v="6"/>
    <x v="3"/>
    <x v="29"/>
    <n v="74.599999999999994"/>
    <s v="Blue"/>
    <s v="B+"/>
    <s v="OUTDOOR"/>
    <x v="23"/>
    <n v="69041"/>
  </r>
  <r>
    <x v="30"/>
    <x v="30"/>
    <s v="Mme."/>
    <s v="Paulette"/>
    <m/>
    <s v="Durand"/>
    <x v="30"/>
    <s v="Capricorn"/>
    <x v="0"/>
    <s v="FR"/>
    <x v="6"/>
    <x v="3"/>
    <x v="30"/>
    <n v="81.7"/>
    <s v="Amber"/>
    <s v="O−"/>
    <s v="INDOOR"/>
    <x v="22"/>
    <n v="86262"/>
  </r>
  <r>
    <x v="31"/>
    <x v="31"/>
    <s v="Mme."/>
    <s v="Laure-Alix"/>
    <m/>
    <s v="Chevalier"/>
    <x v="31"/>
    <s v="Capricorn"/>
    <x v="0"/>
    <s v="FR"/>
    <x v="6"/>
    <x v="3"/>
    <x v="31"/>
    <n v="78.099999999999994"/>
    <s v="Blue"/>
    <s v="O+"/>
    <s v="OUTDOOR"/>
    <x v="20"/>
    <n v="19234"/>
  </r>
  <r>
    <x v="32"/>
    <x v="32"/>
    <s v="M."/>
    <s v="Claude"/>
    <m/>
    <s v="Toussaint"/>
    <x v="32"/>
    <s v="Scorpio"/>
    <x v="1"/>
    <s v="FR"/>
    <x v="6"/>
    <x v="3"/>
    <x v="32"/>
    <n v="57.1"/>
    <s v="Green"/>
    <s v="O+"/>
    <s v="INDOOR"/>
    <x v="24"/>
    <n v="95123"/>
  </r>
  <r>
    <x v="33"/>
    <x v="33"/>
    <s v="M."/>
    <s v="Victor"/>
    <m/>
    <s v="Lenoir"/>
    <x v="33"/>
    <s v="Libra"/>
    <x v="1"/>
    <s v="FR"/>
    <x v="6"/>
    <x v="3"/>
    <x v="33"/>
    <n v="56"/>
    <s v="Blue"/>
    <s v="B+"/>
    <s v="OUTDOOR"/>
    <x v="18"/>
    <n v="62761"/>
  </r>
  <r>
    <x v="34"/>
    <x v="34"/>
    <s v="M."/>
    <s v="Arthur"/>
    <m/>
    <s v="Lenoir"/>
    <x v="34"/>
    <s v="Leo"/>
    <x v="1"/>
    <s v="FR"/>
    <x v="6"/>
    <x v="3"/>
    <x v="34"/>
    <n v="88.6"/>
    <s v="Amber"/>
    <s v="O+"/>
    <s v="OUTDOOR"/>
    <x v="25"/>
    <n v="108431"/>
  </r>
  <r>
    <x v="35"/>
    <x v="35"/>
    <s v="M."/>
    <s v="Benjamin"/>
    <m/>
    <s v="Lebrun-Brun"/>
    <x v="35"/>
    <s v="Aquarius"/>
    <x v="1"/>
    <s v="FR"/>
    <x v="6"/>
    <x v="3"/>
    <x v="35"/>
    <n v="78.2"/>
    <s v="Brown"/>
    <s v="O−"/>
    <s v="OUTDOOR"/>
    <x v="18"/>
    <n v="66268"/>
  </r>
  <r>
    <x v="36"/>
    <x v="36"/>
    <s v="M."/>
    <s v="Antoine"/>
    <m/>
    <s v="Maillard"/>
    <x v="36"/>
    <s v="Cancer"/>
    <x v="1"/>
    <s v="FR"/>
    <x v="6"/>
    <x v="3"/>
    <x v="36"/>
    <n v="95.8"/>
    <s v="Blue"/>
    <s v="B−"/>
    <s v="OUTDOOR"/>
    <x v="26"/>
    <n v="33970"/>
  </r>
  <r>
    <x v="37"/>
    <x v="37"/>
    <s v="M."/>
    <s v="Bernard"/>
    <m/>
    <s v="Hoarau-Guyon"/>
    <x v="37"/>
    <s v="Capricorn"/>
    <x v="1"/>
    <s v="FR"/>
    <x v="6"/>
    <x v="3"/>
    <x v="37"/>
    <n v="59.7"/>
    <s v="Gray"/>
    <s v="O−"/>
    <s v="INDOOR"/>
    <x v="0"/>
    <n v="71352"/>
  </r>
  <r>
    <x v="38"/>
    <x v="38"/>
    <s v="Sr."/>
    <s v="Hidalgo"/>
    <s v="Cantu"/>
    <s v="Tercero"/>
    <x v="38"/>
    <s v="Sagittarius"/>
    <x v="1"/>
    <s v="AG"/>
    <x v="7"/>
    <x v="4"/>
    <x v="38"/>
    <n v="77.7"/>
    <s v="Gray"/>
    <s v="B−"/>
    <s v="OUTDOOR"/>
    <x v="21"/>
    <n v="116376"/>
  </r>
  <r>
    <x v="39"/>
    <x v="39"/>
    <s v="Sr."/>
    <s v="Hadalgo"/>
    <m/>
    <s v="Polanco"/>
    <x v="39"/>
    <s v="Gemini"/>
    <x v="1"/>
    <s v="AG"/>
    <x v="7"/>
    <x v="4"/>
    <x v="39"/>
    <n v="98"/>
    <s v="Blue"/>
    <s v="A−"/>
    <s v="OUTDOOR"/>
    <x v="20"/>
    <n v="114144"/>
  </r>
  <r>
    <x v="40"/>
    <x v="40"/>
    <s v="Sra."/>
    <s v="Laura"/>
    <m/>
    <s v="Oliviera"/>
    <x v="40"/>
    <s v="Aquarius"/>
    <x v="0"/>
    <s v="AG"/>
    <x v="7"/>
    <x v="4"/>
    <x v="40"/>
    <n v="51.9"/>
    <s v="Amber"/>
    <s v="O−"/>
    <s v="OUTDOOR"/>
    <x v="27"/>
    <n v="79872"/>
  </r>
  <r>
    <x v="41"/>
    <x v="41"/>
    <s v="Sra."/>
    <s v="Ainhoa"/>
    <m/>
    <s v="Garza"/>
    <x v="41"/>
    <s v="Pisces"/>
    <x v="0"/>
    <s v="ES"/>
    <x v="8"/>
    <x v="4"/>
    <x v="41"/>
    <n v="55.6"/>
    <s v="Brown"/>
    <s v="O+"/>
    <s v="INDOOR"/>
    <x v="28"/>
    <n v="101969"/>
  </r>
  <r>
    <x v="42"/>
    <x v="42"/>
    <s v="Sra."/>
    <s v="Isabel"/>
    <m/>
    <s v="Banda"/>
    <x v="42"/>
    <s v="Capricorn"/>
    <x v="0"/>
    <s v="ES"/>
    <x v="8"/>
    <x v="4"/>
    <x v="42"/>
    <n v="102.3"/>
    <s v="Amber"/>
    <s v="O+"/>
    <s v="OUTDOOR"/>
    <x v="21"/>
    <n v="50659"/>
  </r>
  <r>
    <x v="43"/>
    <x v="43"/>
    <s v="Sra."/>
    <s v="Carolota"/>
    <m/>
    <s v="Mateos"/>
    <x v="43"/>
    <s v="Leo"/>
    <x v="0"/>
    <s v="ES"/>
    <x v="8"/>
    <x v="4"/>
    <x v="43"/>
    <n v="58.8"/>
    <s v="Gray"/>
    <s v="O−"/>
    <s v="OUTDOOR"/>
    <x v="27"/>
    <n v="58215"/>
  </r>
  <r>
    <x v="44"/>
    <x v="44"/>
    <s v="Mw."/>
    <s v="Elize"/>
    <m/>
    <s v="Prins"/>
    <x v="44"/>
    <s v="Taurus"/>
    <x v="0"/>
    <s v="DU"/>
    <x v="9"/>
    <x v="5"/>
    <x v="44"/>
    <n v="63.8"/>
    <s v="Blue"/>
    <s v="O+"/>
    <s v="INDOOR"/>
    <x v="29"/>
    <n v="39935"/>
  </r>
  <r>
    <x v="45"/>
    <x v="45"/>
    <s v="dhr."/>
    <s v="Ryan"/>
    <m/>
    <s v="Pham"/>
    <x v="45"/>
    <s v="Libra"/>
    <x v="1"/>
    <s v="DU"/>
    <x v="9"/>
    <x v="5"/>
    <x v="45"/>
    <n v="98.6"/>
    <s v="Amber"/>
    <s v="B+"/>
    <s v="OUTDOOR"/>
    <x v="20"/>
    <n v="44865"/>
  </r>
  <r>
    <x v="46"/>
    <x v="46"/>
    <s v="Mw"/>
    <s v="Elise"/>
    <m/>
    <s v="Rotteveel"/>
    <x v="46"/>
    <s v="Aries"/>
    <x v="0"/>
    <s v="DU"/>
    <x v="9"/>
    <x v="5"/>
    <x v="46"/>
    <n v="61.8"/>
    <s v="Gray"/>
    <s v="O−"/>
    <s v="OUTDOOR"/>
    <x v="20"/>
    <n v="90478"/>
  </r>
  <r>
    <x v="47"/>
    <x v="47"/>
    <s v="Fru."/>
    <s v="Mirjam"/>
    <m/>
    <s v="Soderberg"/>
    <x v="47"/>
    <s v="Taurus"/>
    <x v="0"/>
    <s v="SV"/>
    <x v="10"/>
    <x v="6"/>
    <x v="47"/>
    <n v="50"/>
    <s v="Amber"/>
    <s v="O+"/>
    <s v="OUTDOOR"/>
    <x v="2"/>
    <n v="38965"/>
  </r>
  <r>
    <x v="48"/>
    <x v="48"/>
    <s v="H."/>
    <s v="Berndt"/>
    <m/>
    <s v="Palsson"/>
    <x v="48"/>
    <s v="Pisces"/>
    <x v="1"/>
    <s v="SV"/>
    <x v="10"/>
    <x v="6"/>
    <x v="48"/>
    <n v="45.9"/>
    <s v="Blue"/>
    <s v="A−"/>
    <s v="OUTDOOR"/>
    <x v="30"/>
    <n v="35387"/>
  </r>
  <r>
    <x v="49"/>
    <x v="49"/>
    <s v="Sr."/>
    <s v="Adriano"/>
    <s v="Pontes"/>
    <s v="Sobrinho"/>
    <x v="49"/>
    <s v="Leo"/>
    <x v="1"/>
    <s v="PR"/>
    <x v="1"/>
    <x v="1"/>
    <x v="49"/>
    <n v="92.5"/>
    <s v="Green"/>
    <s v="A+"/>
    <s v="INDOOR"/>
    <x v="31"/>
    <n v="20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1DFE64-EADD-44B1-B498-560DAE6A148A}" name="PivotTable1"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D15" firstHeaderRow="1" firstDataRow="2" firstDataCol="1"/>
  <pivotFields count="22">
    <pivotField dataField="1" showAll="0"/>
    <pivotField showAll="0"/>
    <pivotField showAll="0"/>
    <pivotField showAll="0"/>
    <pivotField showAll="0"/>
    <pivotField showAll="0"/>
    <pivotField numFmtId="14" showAll="0">
      <items count="51">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 t="default"/>
      </items>
    </pivotField>
    <pivotField showAll="0"/>
    <pivotField axis="axisCol"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4"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count="1">
    <field x="10"/>
  </rowFields>
  <rowItems count="11">
    <i>
      <x/>
    </i>
    <i>
      <x v="1"/>
    </i>
    <i>
      <x v="2"/>
    </i>
    <i>
      <x v="3"/>
    </i>
    <i>
      <x v="4"/>
    </i>
    <i>
      <x v="5"/>
    </i>
    <i>
      <x v="6"/>
    </i>
    <i>
      <x v="7"/>
    </i>
    <i>
      <x v="8"/>
    </i>
    <i>
      <x v="9"/>
    </i>
    <i>
      <x v="10"/>
    </i>
  </rowItems>
  <colFields count="1">
    <field x="8"/>
  </colFields>
  <colItems count="2">
    <i>
      <x/>
    </i>
    <i>
      <x v="1"/>
    </i>
  </colItems>
  <dataFields count="1">
    <dataField name="Count of MEMBER 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538023-3C94-4630-9B38-3DDB9F6E5EBB}" name="PivotTable1"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
  <location ref="A3:I454" firstHeaderRow="1" firstDataRow="1" firstDataCol="9"/>
  <pivotFields count="22">
    <pivotField axis="axisRow" compact="0" outline="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extLst>
        <ext xmlns:x14="http://schemas.microsoft.com/office/spreadsheetml/2009/9/main" uri="{2946ED86-A175-432a-8AC1-64E0C546D7DE}">
          <x14:pivotField fillDownLabels="1"/>
        </ext>
      </extLst>
    </pivotField>
    <pivotField axis="axisRow" compact="0" outline="0" showAll="0">
      <items count="51">
        <item x="45"/>
        <item x="21"/>
        <item x="18"/>
        <item x="4"/>
        <item x="22"/>
        <item x="23"/>
        <item x="24"/>
        <item x="47"/>
        <item x="48"/>
        <item x="26"/>
        <item x="27"/>
        <item x="13"/>
        <item x="15"/>
        <item x="16"/>
        <item x="17"/>
        <item x="36"/>
        <item x="34"/>
        <item x="35"/>
        <item x="37"/>
        <item x="32"/>
        <item x="33"/>
        <item x="31"/>
        <item x="30"/>
        <item x="29"/>
        <item x="19"/>
        <item x="20"/>
        <item x="5"/>
        <item x="7"/>
        <item x="9"/>
        <item x="11"/>
        <item x="8"/>
        <item x="6"/>
        <item x="0"/>
        <item x="1"/>
        <item x="3"/>
        <item x="25"/>
        <item x="12"/>
        <item x="46"/>
        <item x="44"/>
        <item x="28"/>
        <item x="14"/>
        <item x="10"/>
        <item x="49"/>
        <item x="39"/>
        <item x="38"/>
        <item x="2"/>
        <item x="41"/>
        <item x="43"/>
        <item x="42"/>
        <item x="4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numFmtId="14" outline="0" showAll="0">
      <items count="51">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2">
        <item x="7"/>
        <item x="4"/>
        <item x="5"/>
        <item x="1"/>
        <item x="6"/>
        <item x="3"/>
        <item x="9"/>
        <item x="8"/>
        <item x="10"/>
        <item x="2"/>
        <item x="0"/>
        <item t="default"/>
      </items>
      <extLst>
        <ext xmlns:x14="http://schemas.microsoft.com/office/spreadsheetml/2009/9/main" uri="{2946ED86-A175-432a-8AC1-64E0C546D7DE}">
          <x14:pivotField fillDownLabels="1"/>
        </ext>
      </extLst>
    </pivotField>
    <pivotField axis="axisRow" compact="0" outline="0" showAll="0">
      <items count="8">
        <item x="5"/>
        <item x="0"/>
        <item x="3"/>
        <item x="2"/>
        <item x="1"/>
        <item x="4"/>
        <item x="6"/>
        <item t="default"/>
      </items>
      <extLst>
        <ext xmlns:x14="http://schemas.microsoft.com/office/spreadsheetml/2009/9/main" uri="{2946ED86-A175-432a-8AC1-64E0C546D7DE}">
          <x14:pivotField fillDownLabels="1"/>
        </ext>
      </extLst>
    </pivotField>
    <pivotField axis="axisRow" compact="0" outline="0" showAll="0">
      <items count="51">
        <item x="0"/>
        <item x="24"/>
        <item x="42"/>
        <item x="23"/>
        <item x="15"/>
        <item x="4"/>
        <item x="31"/>
        <item x="3"/>
        <item x="30"/>
        <item x="6"/>
        <item x="2"/>
        <item x="41"/>
        <item x="19"/>
        <item x="37"/>
        <item x="27"/>
        <item x="35"/>
        <item x="34"/>
        <item x="33"/>
        <item x="1"/>
        <item x="5"/>
        <item x="36"/>
        <item x="43"/>
        <item x="29"/>
        <item x="10"/>
        <item x="40"/>
        <item x="21"/>
        <item x="48"/>
        <item x="45"/>
        <item x="39"/>
        <item x="44"/>
        <item x="7"/>
        <item x="18"/>
        <item x="28"/>
        <item x="46"/>
        <item x="25"/>
        <item x="20"/>
        <item x="14"/>
        <item x="12"/>
        <item x="9"/>
        <item x="49"/>
        <item x="47"/>
        <item x="8"/>
        <item x="16"/>
        <item x="38"/>
        <item x="17"/>
        <item x="32"/>
        <item x="22"/>
        <item x="13"/>
        <item x="26"/>
        <item x="11"/>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33">
        <item x="3"/>
        <item x="10"/>
        <item x="27"/>
        <item x="17"/>
        <item x="20"/>
        <item x="30"/>
        <item x="1"/>
        <item x="21"/>
        <item x="12"/>
        <item x="7"/>
        <item x="13"/>
        <item x="15"/>
        <item x="6"/>
        <item x="0"/>
        <item x="24"/>
        <item x="19"/>
        <item x="5"/>
        <item x="2"/>
        <item x="9"/>
        <item x="23"/>
        <item x="28"/>
        <item x="14"/>
        <item x="25"/>
        <item x="29"/>
        <item x="11"/>
        <item x="26"/>
        <item x="8"/>
        <item x="16"/>
        <item x="31"/>
        <item x="18"/>
        <item x="22"/>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axis="axisRow" compact="0" outline="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extLst>
        <ext xmlns:x14="http://schemas.microsoft.com/office/spreadsheetml/2009/9/main" uri="{2946ED86-A175-432a-8AC1-64E0C546D7DE}">
          <x14:pivotField fillDownLabels="1"/>
        </ext>
      </extLst>
    </pivotField>
  </pivotFields>
  <rowFields count="9">
    <field x="0"/>
    <field x="10"/>
    <field x="1"/>
    <field x="12"/>
    <field x="8"/>
    <field x="21"/>
    <field x="6"/>
    <field x="11"/>
    <field x="17"/>
  </rowFields>
  <rowItems count="451">
    <i>
      <x/>
      <x v="10"/>
      <x v="32"/>
      <x/>
      <x/>
      <x v="43"/>
      <x v="47"/>
      <x v="1"/>
      <x v="13"/>
    </i>
    <i t="default" r="7">
      <x v="1"/>
    </i>
    <i t="default" r="6">
      <x v="47"/>
    </i>
    <i t="default" r="5">
      <x v="43"/>
    </i>
    <i t="default" r="4">
      <x/>
    </i>
    <i t="default" r="3">
      <x/>
    </i>
    <i t="default" r="2">
      <x v="32"/>
    </i>
    <i t="default" r="1">
      <x v="10"/>
    </i>
    <i t="default">
      <x/>
    </i>
    <i>
      <x v="1"/>
      <x v="10"/>
      <x v="33"/>
      <x v="18"/>
      <x/>
      <x v="38"/>
      <x v="41"/>
      <x v="1"/>
      <x v="6"/>
    </i>
    <i t="default" r="7">
      <x v="1"/>
    </i>
    <i t="default" r="6">
      <x v="41"/>
    </i>
    <i t="default" r="5">
      <x v="38"/>
    </i>
    <i t="default" r="4">
      <x/>
    </i>
    <i t="default" r="3">
      <x v="18"/>
    </i>
    <i t="default" r="2">
      <x v="33"/>
    </i>
    <i t="default" r="1">
      <x v="10"/>
    </i>
    <i t="default">
      <x v="1"/>
    </i>
    <i>
      <x v="2"/>
      <x v="3"/>
      <x v="45"/>
      <x v="10"/>
      <x v="1"/>
      <x v="15"/>
      <x v="13"/>
      <x v="4"/>
      <x v="17"/>
    </i>
    <i t="default" r="7">
      <x v="4"/>
    </i>
    <i t="default" r="6">
      <x v="13"/>
    </i>
    <i t="default" r="5">
      <x v="15"/>
    </i>
    <i t="default" r="4">
      <x v="1"/>
    </i>
    <i t="default" r="3">
      <x v="10"/>
    </i>
    <i t="default" r="2">
      <x v="45"/>
    </i>
    <i t="default" r="1">
      <x v="3"/>
    </i>
    <i t="default">
      <x v="2"/>
    </i>
    <i>
      <x v="3"/>
      <x v="10"/>
      <x v="34"/>
      <x v="7"/>
      <x/>
      <x v="21"/>
      <x v="23"/>
      <x v="1"/>
      <x/>
    </i>
    <i t="default" r="7">
      <x v="1"/>
    </i>
    <i t="default" r="6">
      <x v="23"/>
    </i>
    <i t="default" r="5">
      <x v="21"/>
    </i>
    <i t="default" r="4">
      <x/>
    </i>
    <i t="default" r="3">
      <x v="7"/>
    </i>
    <i t="default" r="2">
      <x v="34"/>
    </i>
    <i t="default" r="1">
      <x v="10"/>
    </i>
    <i t="default">
      <x v="3"/>
    </i>
    <i>
      <x v="4"/>
      <x v="10"/>
      <x v="3"/>
      <x v="5"/>
      <x v="1"/>
      <x v="16"/>
      <x v="15"/>
      <x v="1"/>
      <x v="31"/>
    </i>
    <i t="default" r="7">
      <x v="1"/>
    </i>
    <i t="default" r="6">
      <x v="15"/>
    </i>
    <i t="default" r="5">
      <x v="16"/>
    </i>
    <i t="default" r="4">
      <x v="1"/>
    </i>
    <i t="default" r="3">
      <x v="5"/>
    </i>
    <i t="default" r="2">
      <x v="3"/>
    </i>
    <i t="default" r="1">
      <x v="10"/>
    </i>
    <i t="default">
      <x v="4"/>
    </i>
    <i>
      <x v="5"/>
      <x v="10"/>
      <x v="26"/>
      <x v="19"/>
      <x v="1"/>
      <x v="38"/>
      <x v="42"/>
      <x v="1"/>
      <x v="16"/>
    </i>
    <i t="default" r="7">
      <x v="1"/>
    </i>
    <i t="default" r="6">
      <x v="42"/>
    </i>
    <i t="default" r="5">
      <x v="38"/>
    </i>
    <i t="default" r="4">
      <x v="1"/>
    </i>
    <i t="default" r="3">
      <x v="19"/>
    </i>
    <i t="default" r="2">
      <x v="26"/>
    </i>
    <i t="default" r="1">
      <x v="10"/>
    </i>
    <i t="default">
      <x v="5"/>
    </i>
    <i>
      <x v="6"/>
      <x v="10"/>
      <x v="31"/>
      <x v="9"/>
      <x/>
      <x v="45"/>
      <x v="48"/>
      <x v="1"/>
      <x v="12"/>
    </i>
    <i t="default" r="7">
      <x v="1"/>
    </i>
    <i t="default" r="6">
      <x v="48"/>
    </i>
    <i t="default" r="5">
      <x v="45"/>
    </i>
    <i t="default" r="4">
      <x/>
    </i>
    <i t="default" r="3">
      <x v="9"/>
    </i>
    <i t="default" r="2">
      <x v="31"/>
    </i>
    <i t="default" r="1">
      <x v="10"/>
    </i>
    <i t="default">
      <x v="6"/>
    </i>
    <i>
      <x v="7"/>
      <x v="10"/>
      <x v="27"/>
      <x v="30"/>
      <x v="1"/>
      <x v="9"/>
      <x v="6"/>
      <x v="1"/>
      <x v="9"/>
    </i>
    <i t="default" r="7">
      <x v="1"/>
    </i>
    <i t="default" r="6">
      <x v="6"/>
    </i>
    <i t="default" r="5">
      <x v="9"/>
    </i>
    <i t="default" r="4">
      <x v="1"/>
    </i>
    <i t="default" r="3">
      <x v="30"/>
    </i>
    <i t="default" r="2">
      <x v="27"/>
    </i>
    <i t="default" r="1">
      <x v="10"/>
    </i>
    <i t="default">
      <x v="7"/>
    </i>
    <i>
      <x v="8"/>
      <x v="9"/>
      <x v="30"/>
      <x v="41"/>
      <x/>
      <x v="17"/>
      <x v="18"/>
      <x v="1"/>
      <x v="26"/>
    </i>
    <i t="default" r="7">
      <x v="1"/>
    </i>
    <i t="default" r="6">
      <x v="18"/>
    </i>
    <i t="default" r="5">
      <x v="17"/>
    </i>
    <i t="default" r="4">
      <x/>
    </i>
    <i t="default" r="3">
      <x v="41"/>
    </i>
    <i t="default" r="2">
      <x v="30"/>
    </i>
    <i t="default" r="1">
      <x v="9"/>
    </i>
    <i t="default">
      <x v="8"/>
    </i>
    <i>
      <x v="9"/>
      <x v="9"/>
      <x v="28"/>
      <x v="38"/>
      <x v="1"/>
      <x v="10"/>
      <x v="8"/>
      <x v="1"/>
      <x v="12"/>
    </i>
    <i t="default" r="7">
      <x v="1"/>
    </i>
    <i t="default" r="6">
      <x v="8"/>
    </i>
    <i t="default" r="5">
      <x v="10"/>
    </i>
    <i t="default" r="4">
      <x v="1"/>
    </i>
    <i t="default" r="3">
      <x v="38"/>
    </i>
    <i t="default" r="2">
      <x v="28"/>
    </i>
    <i t="default" r="1">
      <x v="9"/>
    </i>
    <i t="default">
      <x v="9"/>
    </i>
    <i>
      <x v="10"/>
      <x v="9"/>
      <x v="41"/>
      <x v="23"/>
      <x v="1"/>
      <x v="32"/>
      <x v="36"/>
      <x v="1"/>
      <x v="18"/>
    </i>
    <i t="default" r="7">
      <x v="1"/>
    </i>
    <i t="default" r="6">
      <x v="36"/>
    </i>
    <i t="default" r="5">
      <x v="32"/>
    </i>
    <i t="default" r="4">
      <x v="1"/>
    </i>
    <i t="default" r="3">
      <x v="23"/>
    </i>
    <i t="default" r="2">
      <x v="41"/>
    </i>
    <i t="default" r="1">
      <x v="9"/>
    </i>
    <i t="default">
      <x v="10"/>
    </i>
    <i>
      <x v="11"/>
      <x v="9"/>
      <x v="29"/>
      <x v="49"/>
      <x/>
      <x v="23"/>
      <x v="27"/>
      <x v="1"/>
      <x v="1"/>
    </i>
    <i t="default" r="7">
      <x v="1"/>
    </i>
    <i t="default" r="6">
      <x v="27"/>
    </i>
    <i t="default" r="5">
      <x v="23"/>
    </i>
    <i t="default" r="4">
      <x/>
    </i>
    <i t="default" r="3">
      <x v="49"/>
    </i>
    <i t="default" r="2">
      <x v="29"/>
    </i>
    <i t="default" r="1">
      <x v="9"/>
    </i>
    <i t="default">
      <x v="11"/>
    </i>
    <i>
      <x v="12"/>
      <x v="9"/>
      <x v="36"/>
      <x v="37"/>
      <x/>
      <x v="23"/>
      <x v="25"/>
      <x v="1"/>
      <x v="24"/>
    </i>
    <i t="default" r="7">
      <x v="1"/>
    </i>
    <i t="default" r="6">
      <x v="25"/>
    </i>
    <i t="default" r="5">
      <x v="23"/>
    </i>
    <i t="default" r="4">
      <x/>
    </i>
    <i t="default" r="3">
      <x v="37"/>
    </i>
    <i t="default" r="2">
      <x v="36"/>
    </i>
    <i t="default" r="1">
      <x v="9"/>
    </i>
    <i t="default">
      <x v="12"/>
    </i>
    <i>
      <x v="13"/>
      <x v="5"/>
      <x v="11"/>
      <x v="47"/>
      <x v="1"/>
      <x v="5"/>
      <x v="2"/>
      <x v="3"/>
      <x v="8"/>
    </i>
    <i t="default" r="7">
      <x v="3"/>
    </i>
    <i t="default" r="6">
      <x v="2"/>
    </i>
    <i t="default" r="5">
      <x v="5"/>
    </i>
    <i t="default" r="4">
      <x v="1"/>
    </i>
    <i t="default" r="3">
      <x v="47"/>
    </i>
    <i t="default" r="2">
      <x v="11"/>
    </i>
    <i t="default" r="1">
      <x v="5"/>
    </i>
    <i t="default">
      <x v="13"/>
    </i>
    <i>
      <x v="14"/>
      <x v="5"/>
      <x v="40"/>
      <x v="36"/>
      <x/>
      <x v="11"/>
      <x v="9"/>
      <x v="3"/>
      <x v="10"/>
    </i>
    <i t="default" r="7">
      <x v="3"/>
    </i>
    <i t="default" r="6">
      <x v="9"/>
    </i>
    <i t="default" r="5">
      <x v="11"/>
    </i>
    <i t="default" r="4">
      <x/>
    </i>
    <i t="default" r="3">
      <x v="36"/>
    </i>
    <i t="default" r="2">
      <x v="40"/>
    </i>
    <i t="default" r="1">
      <x v="5"/>
    </i>
    <i t="default">
      <x v="14"/>
    </i>
    <i>
      <x v="15"/>
      <x v="5"/>
      <x v="12"/>
      <x v="4"/>
      <x v="1"/>
      <x v="15"/>
      <x v="14"/>
      <x v="3"/>
      <x/>
    </i>
    <i t="default" r="7">
      <x v="3"/>
    </i>
    <i t="default" r="6">
      <x v="14"/>
    </i>
    <i t="default" r="5">
      <x v="15"/>
    </i>
    <i t="default" r="4">
      <x v="1"/>
    </i>
    <i t="default" r="3">
      <x v="4"/>
    </i>
    <i t="default" r="2">
      <x v="12"/>
    </i>
    <i t="default" r="1">
      <x v="5"/>
    </i>
    <i t="default">
      <x v="15"/>
    </i>
    <i>
      <x v="16"/>
      <x v="5"/>
      <x v="13"/>
      <x v="42"/>
      <x v="1"/>
      <x v="18"/>
      <x v="19"/>
      <x v="3"/>
      <x v="21"/>
    </i>
    <i t="default" r="7">
      <x v="3"/>
    </i>
    <i t="default" r="6">
      <x v="19"/>
    </i>
    <i t="default" r="5">
      <x v="18"/>
    </i>
    <i t="default" r="4">
      <x v="1"/>
    </i>
    <i t="default" r="3">
      <x v="42"/>
    </i>
    <i t="default" r="2">
      <x v="13"/>
    </i>
    <i t="default" r="1">
      <x v="5"/>
    </i>
    <i t="default">
      <x v="16"/>
    </i>
    <i>
      <x v="17"/>
      <x v="5"/>
      <x v="14"/>
      <x v="44"/>
      <x v="1"/>
      <x v="5"/>
      <x v="3"/>
      <x v="3"/>
      <x v="11"/>
    </i>
    <i t="default" r="7">
      <x v="3"/>
    </i>
    <i t="default" r="6">
      <x v="3"/>
    </i>
    <i t="default" r="5">
      <x v="5"/>
    </i>
    <i t="default" r="4">
      <x v="1"/>
    </i>
    <i t="default" r="3">
      <x v="44"/>
    </i>
    <i t="default" r="2">
      <x v="14"/>
    </i>
    <i t="default" r="1">
      <x v="5"/>
    </i>
    <i t="default">
      <x v="17"/>
    </i>
    <i>
      <x v="18"/>
      <x v="1"/>
      <x v="2"/>
      <x v="31"/>
      <x/>
      <x v="23"/>
      <x v="26"/>
      <x v="1"/>
      <x v="27"/>
    </i>
    <i t="default" r="7">
      <x v="1"/>
    </i>
    <i t="default" r="6">
      <x v="26"/>
    </i>
    <i t="default" r="5">
      <x v="23"/>
    </i>
    <i t="default" r="4">
      <x/>
    </i>
    <i t="default" r="3">
      <x v="31"/>
    </i>
    <i t="default" r="2">
      <x v="2"/>
    </i>
    <i t="default" r="1">
      <x v="1"/>
    </i>
    <i t="default">
      <x v="18"/>
    </i>
    <i>
      <x v="19"/>
      <x v="1"/>
      <x v="24"/>
      <x v="12"/>
      <x v="1"/>
      <x v="22"/>
      <x v="24"/>
      <x v="1"/>
      <x v="3"/>
    </i>
    <i t="default" r="7">
      <x v="1"/>
    </i>
    <i t="default" r="6">
      <x v="24"/>
    </i>
    <i t="default" r="5">
      <x v="22"/>
    </i>
    <i t="default" r="4">
      <x v="1"/>
    </i>
    <i t="default" r="3">
      <x v="12"/>
    </i>
    <i t="default" r="2">
      <x v="24"/>
    </i>
    <i t="default" r="1">
      <x v="1"/>
    </i>
    <i t="default">
      <x v="19"/>
    </i>
    <i>
      <x v="20"/>
      <x v="1"/>
      <x v="25"/>
      <x v="35"/>
      <x v="1"/>
      <x v="42"/>
      <x v="45"/>
      <x v="1"/>
      <x v="29"/>
    </i>
    <i t="default" r="7">
      <x v="1"/>
    </i>
    <i t="default" r="6">
      <x v="45"/>
    </i>
    <i t="default" r="5">
      <x v="42"/>
    </i>
    <i t="default" r="4">
      <x v="1"/>
    </i>
    <i t="default" r="3">
      <x v="35"/>
    </i>
    <i t="default" r="2">
      <x v="25"/>
    </i>
    <i t="default" r="1">
      <x v="1"/>
    </i>
    <i t="default">
      <x v="20"/>
    </i>
    <i>
      <x v="21"/>
      <x v="1"/>
      <x v="1"/>
      <x v="25"/>
      <x/>
      <x v="10"/>
      <x v="7"/>
      <x v="1"/>
      <x v="15"/>
    </i>
    <i t="default" r="7">
      <x v="1"/>
    </i>
    <i t="default" r="6">
      <x v="7"/>
    </i>
    <i t="default" r="5">
      <x v="10"/>
    </i>
    <i t="default" r="4">
      <x/>
    </i>
    <i t="default" r="3">
      <x v="25"/>
    </i>
    <i t="default" r="2">
      <x v="1"/>
    </i>
    <i t="default" r="1">
      <x v="1"/>
    </i>
    <i t="default">
      <x v="21"/>
    </i>
    <i>
      <x v="22"/>
      <x v="1"/>
      <x v="4"/>
      <x v="46"/>
      <x/>
      <x v="1"/>
      <x v="1"/>
      <x v="1"/>
      <x v="4"/>
    </i>
    <i t="default" r="7">
      <x v="1"/>
    </i>
    <i t="default" r="6">
      <x v="1"/>
    </i>
    <i t="default" r="5">
      <x v="1"/>
    </i>
    <i t="default" r="4">
      <x/>
    </i>
    <i t="default" r="3">
      <x v="46"/>
    </i>
    <i t="default" r="2">
      <x v="4"/>
    </i>
    <i t="default" r="1">
      <x v="1"/>
    </i>
    <i t="default">
      <x v="22"/>
    </i>
    <i>
      <x v="23"/>
      <x v="1"/>
      <x v="5"/>
      <x v="3"/>
      <x/>
      <x v="45"/>
      <x v="49"/>
      <x v="1"/>
      <x v="7"/>
    </i>
    <i t="default" r="7">
      <x v="1"/>
    </i>
    <i t="default" r="6">
      <x v="49"/>
    </i>
    <i t="default" r="5">
      <x v="45"/>
    </i>
    <i t="default" r="4">
      <x/>
    </i>
    <i t="default" r="3">
      <x v="3"/>
    </i>
    <i t="default" r="2">
      <x v="5"/>
    </i>
    <i t="default" r="1">
      <x v="1"/>
    </i>
    <i t="default">
      <x v="23"/>
    </i>
    <i>
      <x v="24"/>
      <x v="1"/>
      <x v="6"/>
      <x v="1"/>
      <x/>
      <x v="12"/>
      <x v="11"/>
      <x v="1"/>
      <x v="12"/>
    </i>
    <i t="default" r="7">
      <x v="1"/>
    </i>
    <i t="default" r="6">
      <x v="11"/>
    </i>
    <i t="default" r="5">
      <x v="12"/>
    </i>
    <i t="default" r="4">
      <x/>
    </i>
    <i t="default" r="3">
      <x v="1"/>
    </i>
    <i t="default" r="2">
      <x v="6"/>
    </i>
    <i t="default" r="1">
      <x v="1"/>
    </i>
    <i t="default">
      <x v="24"/>
    </i>
    <i>
      <x v="25"/>
      <x v="1"/>
      <x v="35"/>
      <x v="34"/>
      <x/>
      <x v="24"/>
      <x v="28"/>
      <x v="1"/>
      <x v="13"/>
    </i>
    <i t="default" r="7">
      <x v="1"/>
    </i>
    <i t="default" r="6">
      <x v="28"/>
    </i>
    <i t="default" r="5">
      <x v="24"/>
    </i>
    <i t="default" r="4">
      <x/>
    </i>
    <i t="default" r="3">
      <x v="34"/>
    </i>
    <i t="default" r="2">
      <x v="35"/>
    </i>
    <i t="default" r="1">
      <x v="1"/>
    </i>
    <i t="default">
      <x v="25"/>
    </i>
    <i>
      <x v="26"/>
      <x v="2"/>
      <x v="9"/>
      <x v="48"/>
      <x v="1"/>
      <x v="16"/>
      <x v="16"/>
      <x v="3"/>
      <x v="30"/>
    </i>
    <i t="default" r="7">
      <x v="3"/>
    </i>
    <i t="default" r="6">
      <x v="16"/>
    </i>
    <i t="default" r="5">
      <x v="16"/>
    </i>
    <i t="default" r="4">
      <x v="1"/>
    </i>
    <i t="default" r="3">
      <x v="48"/>
    </i>
    <i t="default" r="2">
      <x v="9"/>
    </i>
    <i t="default" r="1">
      <x v="2"/>
    </i>
    <i t="default">
      <x v="26"/>
    </i>
    <i>
      <x v="27"/>
      <x v="2"/>
      <x v="10"/>
      <x v="14"/>
      <x v="1"/>
      <x v="28"/>
      <x v="32"/>
      <x v="3"/>
      <x v="24"/>
    </i>
    <i t="default" r="7">
      <x v="3"/>
    </i>
    <i t="default" r="6">
      <x v="32"/>
    </i>
    <i t="default" r="5">
      <x v="28"/>
    </i>
    <i t="default" r="4">
      <x v="1"/>
    </i>
    <i t="default" r="3">
      <x v="14"/>
    </i>
    <i t="default" r="2">
      <x v="10"/>
    </i>
    <i t="default" r="1">
      <x v="2"/>
    </i>
    <i t="default">
      <x v="27"/>
    </i>
    <i>
      <x v="28"/>
      <x v="2"/>
      <x v="39"/>
      <x v="32"/>
      <x/>
      <x v="40"/>
      <x v="44"/>
      <x v="3"/>
      <x v="12"/>
    </i>
    <i t="default" r="7">
      <x v="3"/>
    </i>
    <i t="default" r="6">
      <x v="44"/>
    </i>
    <i t="default" r="5">
      <x v="40"/>
    </i>
    <i t="default" r="4">
      <x/>
    </i>
    <i t="default" r="3">
      <x v="32"/>
    </i>
    <i t="default" r="2">
      <x v="39"/>
    </i>
    <i t="default" r="1">
      <x v="2"/>
    </i>
    <i t="default">
      <x v="28"/>
    </i>
    <i>
      <x v="29"/>
      <x v="4"/>
      <x v="23"/>
      <x v="22"/>
      <x/>
      <x v="25"/>
      <x v="29"/>
      <x v="2"/>
      <x v="19"/>
    </i>
    <i t="default" r="7">
      <x v="2"/>
    </i>
    <i t="default" r="6">
      <x v="29"/>
    </i>
    <i t="default" r="5">
      <x v="25"/>
    </i>
    <i t="default" r="4">
      <x/>
    </i>
    <i t="default" r="3">
      <x v="22"/>
    </i>
    <i t="default" r="2">
      <x v="23"/>
    </i>
    <i t="default" r="1">
      <x v="4"/>
    </i>
    <i t="default">
      <x v="29"/>
    </i>
    <i>
      <x v="30"/>
      <x v="4"/>
      <x v="22"/>
      <x v="8"/>
      <x/>
      <x v="35"/>
      <x v="39"/>
      <x v="2"/>
      <x v="30"/>
    </i>
    <i t="default" r="7">
      <x v="2"/>
    </i>
    <i t="default" r="6">
      <x v="39"/>
    </i>
    <i t="default" r="5">
      <x v="35"/>
    </i>
    <i t="default" r="4">
      <x/>
    </i>
    <i t="default" r="3">
      <x v="8"/>
    </i>
    <i t="default" r="2">
      <x v="22"/>
    </i>
    <i t="default" r="1">
      <x v="4"/>
    </i>
    <i t="default">
      <x v="30"/>
    </i>
    <i>
      <x v="31"/>
      <x v="4"/>
      <x v="21"/>
      <x v="6"/>
      <x/>
      <x v="16"/>
      <x v="17"/>
      <x v="2"/>
      <x v="4"/>
    </i>
    <i t="default" r="7">
      <x v="2"/>
    </i>
    <i t="default" r="6">
      <x v="17"/>
    </i>
    <i t="default" r="5">
      <x v="16"/>
    </i>
    <i t="default" r="4">
      <x/>
    </i>
    <i t="default" r="3">
      <x v="6"/>
    </i>
    <i t="default" r="2">
      <x v="21"/>
    </i>
    <i t="default" r="1">
      <x v="4"/>
    </i>
    <i t="default">
      <x v="31"/>
    </i>
    <i>
      <x v="32"/>
      <x v="4"/>
      <x v="19"/>
      <x v="45"/>
      <x v="1"/>
      <x v="26"/>
      <x v="30"/>
      <x v="2"/>
      <x v="14"/>
    </i>
    <i t="default" r="7">
      <x v="2"/>
    </i>
    <i t="default" r="6">
      <x v="30"/>
    </i>
    <i t="default" r="5">
      <x v="26"/>
    </i>
    <i t="default" r="4">
      <x v="1"/>
    </i>
    <i t="default" r="3">
      <x v="45"/>
    </i>
    <i t="default" r="2">
      <x v="19"/>
    </i>
    <i t="default" r="1">
      <x v="4"/>
    </i>
    <i t="default">
      <x v="32"/>
    </i>
    <i>
      <x v="33"/>
      <x v="4"/>
      <x v="20"/>
      <x v="17"/>
      <x v="1"/>
      <x v="27"/>
      <x v="31"/>
      <x v="2"/>
      <x v="29"/>
    </i>
    <i t="default" r="7">
      <x v="2"/>
    </i>
    <i t="default" r="6">
      <x v="31"/>
    </i>
    <i t="default" r="5">
      <x v="27"/>
    </i>
    <i t="default" r="4">
      <x v="1"/>
    </i>
    <i t="default" r="3">
      <x v="17"/>
    </i>
    <i t="default" r="2">
      <x v="20"/>
    </i>
    <i t="default" r="1">
      <x v="4"/>
    </i>
    <i t="default">
      <x v="33"/>
    </i>
    <i>
      <x v="34"/>
      <x v="4"/>
      <x v="16"/>
      <x v="16"/>
      <x v="1"/>
      <x v="1"/>
      <x/>
      <x v="2"/>
      <x v="22"/>
    </i>
    <i t="default" r="7">
      <x v="2"/>
    </i>
    <i t="default" r="6">
      <x/>
    </i>
    <i t="default" r="5">
      <x v="1"/>
    </i>
    <i t="default" r="4">
      <x v="1"/>
    </i>
    <i t="default" r="3">
      <x v="16"/>
    </i>
    <i t="default" r="2">
      <x v="16"/>
    </i>
    <i t="default" r="1">
      <x v="4"/>
    </i>
    <i t="default">
      <x v="34"/>
    </i>
    <i>
      <x v="35"/>
      <x v="4"/>
      <x v="17"/>
      <x v="15"/>
      <x v="1"/>
      <x v="21"/>
      <x v="22"/>
      <x v="2"/>
      <x v="29"/>
    </i>
    <i t="default" r="7">
      <x v="2"/>
    </i>
    <i t="default" r="6">
      <x v="22"/>
    </i>
    <i t="default" r="5">
      <x v="21"/>
    </i>
    <i t="default" r="4">
      <x v="1"/>
    </i>
    <i t="default" r="3">
      <x v="15"/>
    </i>
    <i t="default" r="2">
      <x v="17"/>
    </i>
    <i t="default" r="1">
      <x v="4"/>
    </i>
    <i t="default">
      <x v="35"/>
    </i>
    <i>
      <x v="36"/>
      <x v="4"/>
      <x v="15"/>
      <x v="20"/>
      <x v="1"/>
      <x v="32"/>
      <x v="35"/>
      <x v="2"/>
      <x v="25"/>
    </i>
    <i t="default" r="7">
      <x v="2"/>
    </i>
    <i t="default" r="6">
      <x v="35"/>
    </i>
    <i t="default" r="5">
      <x v="32"/>
    </i>
    <i t="default" r="4">
      <x v="1"/>
    </i>
    <i t="default" r="3">
      <x v="20"/>
    </i>
    <i t="default" r="2">
      <x v="15"/>
    </i>
    <i t="default" r="1">
      <x v="4"/>
    </i>
    <i t="default">
      <x v="36"/>
    </i>
    <i>
      <x v="37"/>
      <x v="4"/>
      <x v="18"/>
      <x v="13"/>
      <x v="1"/>
      <x v="29"/>
      <x v="33"/>
      <x v="2"/>
      <x v="13"/>
    </i>
    <i t="default" r="7">
      <x v="2"/>
    </i>
    <i t="default" r="6">
      <x v="33"/>
    </i>
    <i t="default" r="5">
      <x v="29"/>
    </i>
    <i t="default" r="4">
      <x v="1"/>
    </i>
    <i t="default" r="3">
      <x v="13"/>
    </i>
    <i t="default" r="2">
      <x v="18"/>
    </i>
    <i t="default" r="1">
      <x v="4"/>
    </i>
    <i t="default">
      <x v="37"/>
    </i>
    <i>
      <x v="38"/>
      <x/>
      <x v="44"/>
      <x v="43"/>
      <x v="1"/>
      <x v="30"/>
      <x v="34"/>
      <x v="5"/>
      <x v="7"/>
    </i>
    <i t="default" r="7">
      <x v="5"/>
    </i>
    <i t="default" r="6">
      <x v="34"/>
    </i>
    <i t="default" r="5">
      <x v="30"/>
    </i>
    <i t="default" r="4">
      <x v="1"/>
    </i>
    <i t="default" r="3">
      <x v="43"/>
    </i>
    <i t="default" r="2">
      <x v="44"/>
    </i>
    <i t="default" r="1">
      <x/>
    </i>
    <i t="default">
      <x v="38"/>
    </i>
    <i>
      <x v="39"/>
      <x/>
      <x v="43"/>
      <x v="28"/>
      <x v="1"/>
      <x v="34"/>
      <x v="38"/>
      <x v="5"/>
      <x v="4"/>
    </i>
    <i t="default" r="7">
      <x v="5"/>
    </i>
    <i t="default" r="6">
      <x v="38"/>
    </i>
    <i t="default" r="5">
      <x v="34"/>
    </i>
    <i t="default" r="4">
      <x v="1"/>
    </i>
    <i t="default" r="3">
      <x v="28"/>
    </i>
    <i t="default" r="2">
      <x v="43"/>
    </i>
    <i t="default" r="1">
      <x/>
    </i>
    <i t="default">
      <x v="39"/>
    </i>
    <i>
      <x v="40"/>
      <x/>
      <x v="49"/>
      <x v="24"/>
      <x/>
      <x v="20"/>
      <x v="21"/>
      <x v="5"/>
      <x v="2"/>
    </i>
    <i t="default" r="7">
      <x v="5"/>
    </i>
    <i t="default" r="6">
      <x v="21"/>
    </i>
    <i t="default" r="5">
      <x v="20"/>
    </i>
    <i t="default" r="4">
      <x/>
    </i>
    <i t="default" r="3">
      <x v="24"/>
    </i>
    <i t="default" r="2">
      <x v="49"/>
    </i>
    <i t="default" r="1">
      <x/>
    </i>
    <i t="default">
      <x v="40"/>
    </i>
    <i>
      <x v="41"/>
      <x v="7"/>
      <x v="46"/>
      <x v="11"/>
      <x/>
      <x v="36"/>
      <x v="40"/>
      <x v="5"/>
      <x v="20"/>
    </i>
    <i t="default" r="7">
      <x v="5"/>
    </i>
    <i t="default" r="6">
      <x v="40"/>
    </i>
    <i t="default" r="5">
      <x v="36"/>
    </i>
    <i t="default" r="4">
      <x/>
    </i>
    <i t="default" r="3">
      <x v="11"/>
    </i>
    <i t="default" r="2">
      <x v="46"/>
    </i>
    <i t="default" r="1">
      <x v="7"/>
    </i>
    <i t="default">
      <x v="41"/>
    </i>
    <i>
      <x v="42"/>
      <x v="7"/>
      <x v="48"/>
      <x v="2"/>
      <x/>
      <x v="6"/>
      <x v="4"/>
      <x v="5"/>
      <x v="7"/>
    </i>
    <i t="default" r="7">
      <x v="5"/>
    </i>
    <i t="default" r="6">
      <x v="4"/>
    </i>
    <i t="default" r="5">
      <x v="6"/>
    </i>
    <i t="default" r="4">
      <x/>
    </i>
    <i t="default" r="3">
      <x v="2"/>
    </i>
    <i t="default" r="2">
      <x v="48"/>
    </i>
    <i t="default" r="1">
      <x v="7"/>
    </i>
    <i t="default">
      <x v="42"/>
    </i>
    <i>
      <x v="43"/>
      <x v="7"/>
      <x v="47"/>
      <x v="21"/>
      <x/>
      <x v="11"/>
      <x v="10"/>
      <x v="5"/>
      <x v="2"/>
    </i>
    <i t="default" r="7">
      <x v="5"/>
    </i>
    <i t="default" r="6">
      <x v="10"/>
    </i>
    <i t="default" r="5">
      <x v="11"/>
    </i>
    <i t="default" r="4">
      <x/>
    </i>
    <i t="default" r="3">
      <x v="21"/>
    </i>
    <i t="default" r="2">
      <x v="47"/>
    </i>
    <i t="default" r="1">
      <x v="7"/>
    </i>
    <i t="default">
      <x v="43"/>
    </i>
    <i>
      <x v="44"/>
      <x v="6"/>
      <x v="38"/>
      <x v="29"/>
      <x/>
      <x v="6"/>
      <x v="5"/>
      <x/>
      <x v="23"/>
    </i>
    <i t="default" r="7">
      <x/>
    </i>
    <i t="default" r="6">
      <x v="5"/>
    </i>
    <i t="default" r="5">
      <x v="6"/>
    </i>
    <i t="default" r="4">
      <x/>
    </i>
    <i t="default" r="3">
      <x v="29"/>
    </i>
    <i t="default" r="2">
      <x v="38"/>
    </i>
    <i t="default" r="1">
      <x v="6"/>
    </i>
    <i t="default">
      <x v="44"/>
    </i>
    <i>
      <x v="45"/>
      <x v="6"/>
      <x/>
      <x v="27"/>
      <x v="1"/>
      <x v="19"/>
      <x v="20"/>
      <x/>
      <x v="4"/>
    </i>
    <i t="default" r="7">
      <x/>
    </i>
    <i t="default" r="6">
      <x v="20"/>
    </i>
    <i t="default" r="5">
      <x v="19"/>
    </i>
    <i t="default" r="4">
      <x v="1"/>
    </i>
    <i t="default" r="3">
      <x v="27"/>
    </i>
    <i t="default" r="2">
      <x/>
    </i>
    <i t="default" r="1">
      <x v="6"/>
    </i>
    <i t="default">
      <x v="45"/>
    </i>
    <i>
      <x v="46"/>
      <x v="6"/>
      <x v="37"/>
      <x v="33"/>
      <x/>
      <x v="14"/>
      <x v="12"/>
      <x/>
      <x v="4"/>
    </i>
    <i t="default" r="7">
      <x/>
    </i>
    <i t="default" r="6">
      <x v="12"/>
    </i>
    <i t="default" r="5">
      <x v="14"/>
    </i>
    <i t="default" r="4">
      <x/>
    </i>
    <i t="default" r="3">
      <x v="33"/>
    </i>
    <i t="default" r="2">
      <x v="37"/>
    </i>
    <i t="default" r="1">
      <x v="6"/>
    </i>
    <i t="default">
      <x v="46"/>
    </i>
    <i>
      <x v="47"/>
      <x v="8"/>
      <x v="7"/>
      <x v="40"/>
      <x/>
      <x v="43"/>
      <x v="46"/>
      <x v="6"/>
      <x v="17"/>
    </i>
    <i t="default" r="7">
      <x v="6"/>
    </i>
    <i t="default" r="6">
      <x v="46"/>
    </i>
    <i t="default" r="5">
      <x v="43"/>
    </i>
    <i t="default" r="4">
      <x/>
    </i>
    <i t="default" r="3">
      <x v="40"/>
    </i>
    <i t="default" r="2">
      <x v="7"/>
    </i>
    <i t="default" r="1">
      <x v="8"/>
    </i>
    <i t="default">
      <x v="47"/>
    </i>
    <i>
      <x v="48"/>
      <x v="8"/>
      <x v="8"/>
      <x v="26"/>
      <x v="1"/>
      <x v="33"/>
      <x v="37"/>
      <x v="6"/>
      <x v="5"/>
    </i>
    <i t="default" r="7">
      <x v="6"/>
    </i>
    <i t="default" r="6">
      <x v="37"/>
    </i>
    <i t="default" r="5">
      <x v="33"/>
    </i>
    <i t="default" r="4">
      <x v="1"/>
    </i>
    <i t="default" r="3">
      <x v="26"/>
    </i>
    <i t="default" r="2">
      <x v="8"/>
    </i>
    <i t="default" r="1">
      <x v="8"/>
    </i>
    <i t="default">
      <x v="48"/>
    </i>
    <i>
      <x v="49"/>
      <x v="3"/>
      <x v="42"/>
      <x v="39"/>
      <x v="1"/>
      <x v="39"/>
      <x v="43"/>
      <x v="4"/>
      <x v="28"/>
    </i>
    <i t="default" r="7">
      <x v="4"/>
    </i>
    <i t="default" r="6">
      <x v="43"/>
    </i>
    <i t="default" r="5">
      <x v="39"/>
    </i>
    <i t="default" r="4">
      <x v="1"/>
    </i>
    <i t="default" r="3">
      <x v="39"/>
    </i>
    <i t="default" r="2">
      <x v="42"/>
    </i>
    <i t="default" r="1">
      <x v="3"/>
    </i>
    <i t="default">
      <x v="4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0014-F7B1-460D-B1E9-9CA83663BBBB}">
  <dimension ref="B1:E18"/>
  <sheetViews>
    <sheetView showGridLines="0" topLeftCell="B1"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38" t="s">
        <v>252</v>
      </c>
      <c r="C2" s="39"/>
      <c r="D2" s="40"/>
      <c r="E2" s="44" t="s">
        <v>232</v>
      </c>
    </row>
    <row r="3" spans="2:5" ht="42" customHeight="1" thickBot="1" x14ac:dyDescent="0.35">
      <c r="B3" s="41"/>
      <c r="C3" s="42"/>
      <c r="D3" s="43"/>
      <c r="E3" s="45"/>
    </row>
    <row r="4" spans="2:5" ht="8.25" customHeight="1" x14ac:dyDescent="0.3"/>
    <row r="5" spans="2:5" ht="19.5" customHeight="1" thickBot="1" x14ac:dyDescent="0.35">
      <c r="C5" s="9" t="s">
        <v>226</v>
      </c>
      <c r="D5" s="9" t="s">
        <v>223</v>
      </c>
      <c r="E5" s="10" t="s">
        <v>224</v>
      </c>
    </row>
    <row r="6" spans="2:5" ht="19.5" customHeight="1" thickBot="1" x14ac:dyDescent="0.35">
      <c r="B6" s="20" t="s">
        <v>135</v>
      </c>
      <c r="C6" s="36" t="s">
        <v>225</v>
      </c>
      <c r="D6" s="36"/>
      <c r="E6" s="37"/>
    </row>
    <row r="7" spans="2:5" x14ac:dyDescent="0.3">
      <c r="B7" s="19">
        <v>1</v>
      </c>
      <c r="C7" s="11" t="s">
        <v>234</v>
      </c>
      <c r="D7" s="12" t="s">
        <v>229</v>
      </c>
      <c r="E7" s="13" t="s">
        <v>220</v>
      </c>
    </row>
    <row r="8" spans="2:5" x14ac:dyDescent="0.3">
      <c r="B8" s="12">
        <v>2</v>
      </c>
      <c r="C8" s="11" t="s">
        <v>234</v>
      </c>
      <c r="D8" s="12" t="s">
        <v>230</v>
      </c>
      <c r="E8" s="13" t="s">
        <v>235</v>
      </c>
    </row>
    <row r="9" spans="2:5" x14ac:dyDescent="0.3">
      <c r="B9" s="12">
        <v>3</v>
      </c>
      <c r="C9" s="11" t="s">
        <v>234</v>
      </c>
      <c r="D9" s="12" t="s">
        <v>231</v>
      </c>
      <c r="E9" s="13" t="s">
        <v>236</v>
      </c>
    </row>
    <row r="10" spans="2:5" ht="27.6" x14ac:dyDescent="0.3">
      <c r="B10" s="12">
        <v>4</v>
      </c>
      <c r="C10" s="11" t="s">
        <v>234</v>
      </c>
      <c r="D10" s="12" t="s">
        <v>237</v>
      </c>
      <c r="E10" s="31" t="s">
        <v>282</v>
      </c>
    </row>
    <row r="11" spans="2:5" ht="15" thickBot="1" x14ac:dyDescent="0.35">
      <c r="B11" s="15">
        <v>5</v>
      </c>
      <c r="C11" s="14" t="s">
        <v>234</v>
      </c>
      <c r="D11" s="15" t="s">
        <v>240</v>
      </c>
      <c r="E11" s="16" t="s">
        <v>241</v>
      </c>
    </row>
    <row r="12" spans="2:5" ht="15.6" thickTop="1" thickBot="1" x14ac:dyDescent="0.35"/>
    <row r="13" spans="2:5" ht="19.5" customHeight="1" thickBot="1" x14ac:dyDescent="0.35">
      <c r="B13" s="20" t="s">
        <v>135</v>
      </c>
      <c r="C13" s="36" t="s">
        <v>242</v>
      </c>
      <c r="D13" s="36"/>
      <c r="E13" s="37"/>
    </row>
    <row r="14" spans="2:5" x14ac:dyDescent="0.3">
      <c r="B14" s="19">
        <v>1</v>
      </c>
      <c r="C14" s="12" t="s">
        <v>234</v>
      </c>
      <c r="D14" s="12" t="s">
        <v>243</v>
      </c>
      <c r="E14" s="17" t="s">
        <v>244</v>
      </c>
    </row>
    <row r="15" spans="2:5" x14ac:dyDescent="0.3">
      <c r="B15" s="12">
        <v>2</v>
      </c>
      <c r="C15" s="12" t="s">
        <v>234</v>
      </c>
      <c r="D15" s="12" t="s">
        <v>245</v>
      </c>
      <c r="E15" s="17" t="s">
        <v>249</v>
      </c>
    </row>
    <row r="16" spans="2:5" x14ac:dyDescent="0.3">
      <c r="B16" s="12">
        <v>3</v>
      </c>
      <c r="C16" s="12" t="s">
        <v>234</v>
      </c>
      <c r="D16" s="12" t="s">
        <v>247</v>
      </c>
      <c r="E16" s="17" t="s">
        <v>248</v>
      </c>
    </row>
    <row r="17" spans="2:5" ht="55.8" thickBot="1" x14ac:dyDescent="0.35">
      <c r="B17" s="15">
        <v>4</v>
      </c>
      <c r="C17" s="15" t="s">
        <v>234</v>
      </c>
      <c r="D17" s="15" t="s">
        <v>250</v>
      </c>
      <c r="E17" s="18" t="s">
        <v>251</v>
      </c>
    </row>
    <row r="18" spans="2:5" ht="15" thickTop="1" x14ac:dyDescent="0.3"/>
  </sheetData>
  <sheetProtection sheet="1" objects="1" scenarios="1" selectLockedCells="1" selectUnlockedCells="1"/>
  <mergeCells count="4">
    <mergeCell ref="C13:E13"/>
    <mergeCell ref="B2:D3"/>
    <mergeCell ref="C6:E6"/>
    <mergeCell ref="E2: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AC1E-DB3A-47CC-B4CD-38E29C26859B}">
  <dimension ref="B1:E19"/>
  <sheetViews>
    <sheetView showGridLines="0" zoomScaleNormal="10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38" t="s">
        <v>253</v>
      </c>
      <c r="C2" s="39"/>
      <c r="D2" s="40"/>
      <c r="E2" s="44" t="s">
        <v>232</v>
      </c>
    </row>
    <row r="3" spans="2:5" ht="42" customHeight="1" thickBot="1" x14ac:dyDescent="0.35">
      <c r="B3" s="41"/>
      <c r="C3" s="42"/>
      <c r="D3" s="43"/>
      <c r="E3" s="45"/>
    </row>
    <row r="4" spans="2:5" ht="8.25" customHeight="1" x14ac:dyDescent="0.3"/>
    <row r="5" spans="2:5" ht="27" customHeight="1" x14ac:dyDescent="0.3">
      <c r="B5" s="23" t="s">
        <v>260</v>
      </c>
      <c r="C5" s="22"/>
      <c r="D5" s="21"/>
      <c r="E5" s="21"/>
    </row>
    <row r="6" spans="2:5" ht="19.5" customHeight="1" thickBot="1" x14ac:dyDescent="0.35">
      <c r="C6" s="9" t="s">
        <v>226</v>
      </c>
      <c r="D6" s="9" t="s">
        <v>257</v>
      </c>
      <c r="E6" s="10" t="s">
        <v>224</v>
      </c>
    </row>
    <row r="7" spans="2:5" ht="19.5" customHeight="1" thickBot="1" x14ac:dyDescent="0.35">
      <c r="B7" s="20" t="s">
        <v>135</v>
      </c>
      <c r="C7" s="36" t="s">
        <v>254</v>
      </c>
      <c r="D7" s="36"/>
      <c r="E7" s="37"/>
    </row>
    <row r="8" spans="2:5" x14ac:dyDescent="0.3">
      <c r="B8" s="19">
        <v>1</v>
      </c>
      <c r="C8" s="11" t="s">
        <v>256</v>
      </c>
      <c r="D8" s="12" t="s">
        <v>258</v>
      </c>
      <c r="E8" s="17" t="s">
        <v>259</v>
      </c>
    </row>
    <row r="9" spans="2:5" x14ac:dyDescent="0.3">
      <c r="B9" s="12">
        <v>2</v>
      </c>
      <c r="C9" s="11" t="s">
        <v>256</v>
      </c>
      <c r="D9" s="12"/>
      <c r="E9" s="17" t="s">
        <v>261</v>
      </c>
    </row>
    <row r="10" spans="2:5" x14ac:dyDescent="0.3">
      <c r="B10" s="12">
        <v>3</v>
      </c>
      <c r="C10" s="11" t="s">
        <v>256</v>
      </c>
      <c r="D10" s="12"/>
      <c r="E10" s="17" t="s">
        <v>262</v>
      </c>
    </row>
    <row r="11" spans="2:5" x14ac:dyDescent="0.3">
      <c r="B11" s="12">
        <v>4</v>
      </c>
      <c r="C11" s="11" t="s">
        <v>256</v>
      </c>
      <c r="D11" s="12"/>
      <c r="E11" s="17" t="s">
        <v>263</v>
      </c>
    </row>
    <row r="12" spans="2:5" ht="15" thickBot="1" x14ac:dyDescent="0.35">
      <c r="B12" s="15">
        <v>5</v>
      </c>
      <c r="C12" s="14" t="s">
        <v>256</v>
      </c>
      <c r="D12" s="15"/>
      <c r="E12" s="18" t="s">
        <v>264</v>
      </c>
    </row>
    <row r="13" spans="2:5" ht="15.6" thickTop="1" thickBot="1" x14ac:dyDescent="0.35"/>
    <row r="14" spans="2:5" ht="19.5" customHeight="1" thickBot="1" x14ac:dyDescent="0.35">
      <c r="B14" s="20" t="s">
        <v>135</v>
      </c>
      <c r="C14" s="36" t="s">
        <v>255</v>
      </c>
      <c r="D14" s="36"/>
      <c r="E14" s="37"/>
    </row>
    <row r="15" spans="2:5" x14ac:dyDescent="0.3">
      <c r="B15" s="19">
        <v>1</v>
      </c>
      <c r="C15" s="11" t="s">
        <v>256</v>
      </c>
      <c r="D15" s="12" t="s">
        <v>265</v>
      </c>
      <c r="E15" s="17" t="s">
        <v>273</v>
      </c>
    </row>
    <row r="16" spans="2:5" x14ac:dyDescent="0.3">
      <c r="B16" s="12">
        <v>2</v>
      </c>
      <c r="C16" s="11" t="s">
        <v>256</v>
      </c>
      <c r="D16" s="12" t="s">
        <v>266</v>
      </c>
      <c r="E16" s="17" t="s">
        <v>268</v>
      </c>
    </row>
    <row r="17" spans="2:5" x14ac:dyDescent="0.3">
      <c r="B17" s="12">
        <v>3</v>
      </c>
      <c r="C17" s="11" t="s">
        <v>256</v>
      </c>
      <c r="D17" s="12" t="s">
        <v>267</v>
      </c>
      <c r="E17" s="17" t="s">
        <v>269</v>
      </c>
    </row>
    <row r="18" spans="2:5" ht="15" thickBot="1" x14ac:dyDescent="0.35">
      <c r="B18" s="15">
        <v>4</v>
      </c>
      <c r="C18" s="14" t="s">
        <v>256</v>
      </c>
      <c r="D18" s="15" t="s">
        <v>271</v>
      </c>
      <c r="E18" s="18" t="s">
        <v>270</v>
      </c>
    </row>
    <row r="19" spans="2:5" ht="15" thickTop="1" x14ac:dyDescent="0.3"/>
  </sheetData>
  <sheetProtection sheet="1" objects="1" scenarios="1" selectLockedCells="1" selectUnlockedCells="1"/>
  <mergeCells count="4">
    <mergeCell ref="B2:D3"/>
    <mergeCell ref="E2:E3"/>
    <mergeCell ref="C7:E7"/>
    <mergeCell ref="C14:E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40BB-DC47-4500-BD2F-DAD1FD744BAF}">
  <dimension ref="B1:E14"/>
  <sheetViews>
    <sheetView showGridLines="0" zoomScaleNormal="10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38" t="s">
        <v>272</v>
      </c>
      <c r="C2" s="39"/>
      <c r="D2" s="40"/>
      <c r="E2" s="44" t="s">
        <v>232</v>
      </c>
    </row>
    <row r="3" spans="2:5" ht="42" customHeight="1" thickBot="1" x14ac:dyDescent="0.35">
      <c r="B3" s="41"/>
      <c r="C3" s="42"/>
      <c r="D3" s="43"/>
      <c r="E3" s="45"/>
    </row>
    <row r="4" spans="2:5" ht="8.25" customHeight="1" x14ac:dyDescent="0.3"/>
    <row r="5" spans="2:5" ht="27" customHeight="1" x14ac:dyDescent="0.3">
      <c r="B5" s="23" t="s">
        <v>260</v>
      </c>
      <c r="C5" s="22"/>
      <c r="D5" s="21"/>
      <c r="E5" s="21"/>
    </row>
    <row r="6" spans="2:5" ht="19.5" customHeight="1" thickBot="1" x14ac:dyDescent="0.35">
      <c r="C6" s="9" t="s">
        <v>226</v>
      </c>
      <c r="D6" s="9" t="s">
        <v>257</v>
      </c>
      <c r="E6" s="10" t="s">
        <v>224</v>
      </c>
    </row>
    <row r="7" spans="2:5" ht="19.5" customHeight="1" thickBot="1" x14ac:dyDescent="0.35">
      <c r="B7" s="20" t="s">
        <v>135</v>
      </c>
      <c r="C7" s="36" t="s">
        <v>281</v>
      </c>
      <c r="D7" s="36"/>
      <c r="E7" s="37"/>
    </row>
    <row r="8" spans="2:5" x14ac:dyDescent="0.3">
      <c r="B8" s="19">
        <v>1</v>
      </c>
      <c r="C8" s="11" t="s">
        <v>227</v>
      </c>
      <c r="D8" s="12" t="s">
        <v>274</v>
      </c>
      <c r="E8" s="17" t="s">
        <v>275</v>
      </c>
    </row>
    <row r="9" spans="2:5" ht="15" customHeight="1" x14ac:dyDescent="0.3">
      <c r="B9" s="12">
        <v>2</v>
      </c>
      <c r="C9" s="11" t="s">
        <v>227</v>
      </c>
      <c r="D9" s="12"/>
      <c r="E9" s="27" t="s">
        <v>279</v>
      </c>
    </row>
    <row r="10" spans="2:5" x14ac:dyDescent="0.3">
      <c r="B10" s="12">
        <v>3</v>
      </c>
      <c r="C10" s="11" t="s">
        <v>227</v>
      </c>
      <c r="D10" s="12"/>
      <c r="E10" s="17" t="s">
        <v>276</v>
      </c>
    </row>
    <row r="11" spans="2:5" x14ac:dyDescent="0.3">
      <c r="B11" s="12">
        <v>4</v>
      </c>
      <c r="C11" s="11" t="s">
        <v>227</v>
      </c>
      <c r="D11" s="12"/>
      <c r="E11" s="17" t="s">
        <v>277</v>
      </c>
    </row>
    <row r="12" spans="2:5" x14ac:dyDescent="0.3">
      <c r="B12" s="28">
        <v>5</v>
      </c>
      <c r="C12" s="29" t="s">
        <v>227</v>
      </c>
      <c r="D12" s="28"/>
      <c r="E12" s="30" t="s">
        <v>264</v>
      </c>
    </row>
    <row r="13" spans="2:5" ht="15" thickBot="1" x14ac:dyDescent="0.35">
      <c r="B13" s="15">
        <v>5</v>
      </c>
      <c r="C13" s="14" t="s">
        <v>227</v>
      </c>
      <c r="D13" s="15" t="s">
        <v>280</v>
      </c>
      <c r="E13" s="18" t="s">
        <v>278</v>
      </c>
    </row>
    <row r="14" spans="2:5" ht="15" thickTop="1" x14ac:dyDescent="0.3"/>
  </sheetData>
  <sheetProtection sheet="1" objects="1" scenarios="1" selectLockedCells="1" selectUnlockedCells="1"/>
  <mergeCells count="3">
    <mergeCell ref="B2:D3"/>
    <mergeCell ref="E2:E3"/>
    <mergeCell ref="C7: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2301-3CA7-4FA4-8709-6467A585528B}">
  <sheetPr>
    <tabColor rgb="FFFF0000"/>
  </sheetPr>
  <dimension ref="B3:I15"/>
  <sheetViews>
    <sheetView workbookViewId="0">
      <selection activeCell="K5" sqref="K5"/>
    </sheetView>
  </sheetViews>
  <sheetFormatPr defaultRowHeight="14.4" x14ac:dyDescent="0.3"/>
  <cols>
    <col min="2" max="2" width="19" bestFit="1" customWidth="1"/>
    <col min="3" max="3" width="15.5546875" bestFit="1" customWidth="1"/>
    <col min="4" max="4" width="5.21875" bestFit="1" customWidth="1"/>
    <col min="5" max="5" width="10.77734375" bestFit="1" customWidth="1"/>
    <col min="7" max="7" width="12.6640625" customWidth="1"/>
  </cols>
  <sheetData>
    <row r="3" spans="2:9" x14ac:dyDescent="0.3">
      <c r="B3" s="35" t="s">
        <v>285</v>
      </c>
      <c r="C3" s="35" t="s">
        <v>283</v>
      </c>
    </row>
    <row r="4" spans="2:9" ht="28.8" x14ac:dyDescent="0.3">
      <c r="B4" s="35" t="s">
        <v>284</v>
      </c>
      <c r="C4" t="s">
        <v>138</v>
      </c>
      <c r="D4" t="s">
        <v>142</v>
      </c>
      <c r="G4" s="51" t="s">
        <v>286</v>
      </c>
      <c r="H4" s="50" t="s">
        <v>142</v>
      </c>
      <c r="I4" s="50" t="s">
        <v>138</v>
      </c>
    </row>
    <row r="5" spans="2:9" x14ac:dyDescent="0.3">
      <c r="B5" s="1" t="s">
        <v>159</v>
      </c>
      <c r="C5" s="52">
        <v>1</v>
      </c>
      <c r="D5" s="52">
        <v>2</v>
      </c>
      <c r="G5" s="2" t="s">
        <v>140</v>
      </c>
      <c r="H5" s="2">
        <f>COUNTIFS(SPORTSMEN!$K$2:$K$51,ANALYSIS!$G5,SPORTSMEN!$I$2:$I$51,ANALYSIS!H$4)</f>
        <v>3</v>
      </c>
      <c r="I5" s="2">
        <f>COUNTIFS(SPORTSMEN!$K$2:$K$51,ANALYSIS!$G5,SPORTSMEN!$I$2:$I$51,ANALYSIS!I$4)</f>
        <v>4</v>
      </c>
    </row>
    <row r="6" spans="2:9" x14ac:dyDescent="0.3">
      <c r="B6" s="1" t="s">
        <v>151</v>
      </c>
      <c r="C6" s="52">
        <v>6</v>
      </c>
      <c r="D6" s="52">
        <v>2</v>
      </c>
      <c r="G6" s="2" t="s">
        <v>144</v>
      </c>
      <c r="H6" s="2">
        <f>COUNTIFS(SPORTSMEN!$K$2:$K$51,ANALYSIS!$G6,SPORTSMEN!$I$2:$I$51,ANALYSIS!H$4)</f>
        <v>2</v>
      </c>
      <c r="I6" s="2">
        <f>COUNTIFS(SPORTSMEN!$K$2:$K$51,ANALYSIS!$G6,SPORTSMEN!$I$2:$I$51,ANALYSIS!I$4)</f>
        <v>0</v>
      </c>
    </row>
    <row r="7" spans="2:9" x14ac:dyDescent="0.3">
      <c r="B7" s="1" t="s">
        <v>153</v>
      </c>
      <c r="C7" s="52">
        <v>1</v>
      </c>
      <c r="D7" s="52">
        <v>2</v>
      </c>
      <c r="G7" s="2" t="s">
        <v>146</v>
      </c>
      <c r="H7" s="2">
        <f>COUNTIFS(SPORTSMEN!$K$2:$K$51,ANALYSIS!$G7,SPORTSMEN!$I$2:$I$51,ANALYSIS!H$4)</f>
        <v>2</v>
      </c>
      <c r="I7" s="2">
        <f>COUNTIFS(SPORTSMEN!$K$2:$K$51,ANALYSIS!$G7,SPORTSMEN!$I$2:$I$51,ANALYSIS!I$4)</f>
        <v>3</v>
      </c>
    </row>
    <row r="8" spans="2:9" x14ac:dyDescent="0.3">
      <c r="B8" s="1" t="s">
        <v>144</v>
      </c>
      <c r="C8" s="52"/>
      <c r="D8" s="52">
        <v>2</v>
      </c>
      <c r="G8" s="2" t="s">
        <v>149</v>
      </c>
      <c r="H8" s="2">
        <f>COUNTIFS(SPORTSMEN!$K$2:$K$51,ANALYSIS!$G8,SPORTSMEN!$I$2:$I$51,ANALYSIS!H$4)</f>
        <v>4</v>
      </c>
      <c r="I8" s="2">
        <f>COUNTIFS(SPORTSMEN!$K$2:$K$51,ANALYSIS!$G8,SPORTSMEN!$I$2:$I$51,ANALYSIS!I$4)</f>
        <v>1</v>
      </c>
    </row>
    <row r="9" spans="2:9" x14ac:dyDescent="0.3">
      <c r="B9" s="1" t="s">
        <v>156</v>
      </c>
      <c r="C9" s="52">
        <v>3</v>
      </c>
      <c r="D9" s="52">
        <v>6</v>
      </c>
      <c r="G9" s="2" t="s">
        <v>151</v>
      </c>
      <c r="H9" s="2">
        <f>COUNTIFS(SPORTSMEN!$K$2:$K$51,ANALYSIS!$G9,SPORTSMEN!$I$2:$I$51,ANALYSIS!H$4)</f>
        <v>2</v>
      </c>
      <c r="I9" s="2">
        <f>COUNTIFS(SPORTSMEN!$K$2:$K$51,ANALYSIS!$G9,SPORTSMEN!$I$2:$I$51,ANALYSIS!I$4)</f>
        <v>6</v>
      </c>
    </row>
    <row r="10" spans="2:9" x14ac:dyDescent="0.3">
      <c r="B10" s="1" t="s">
        <v>149</v>
      </c>
      <c r="C10" s="52">
        <v>1</v>
      </c>
      <c r="D10" s="52">
        <v>4</v>
      </c>
      <c r="G10" s="2" t="s">
        <v>153</v>
      </c>
      <c r="H10" s="2">
        <f>COUNTIFS(SPORTSMEN!$K$2:$K$51,ANALYSIS!$G10,SPORTSMEN!$I$2:$I$51,ANALYSIS!H$4)</f>
        <v>2</v>
      </c>
      <c r="I10" s="2">
        <f>COUNTIFS(SPORTSMEN!$K$2:$K$51,ANALYSIS!$G10,SPORTSMEN!$I$2:$I$51,ANALYSIS!I$4)</f>
        <v>1</v>
      </c>
    </row>
    <row r="11" spans="2:9" x14ac:dyDescent="0.3">
      <c r="B11" s="1" t="s">
        <v>164</v>
      </c>
      <c r="C11" s="52">
        <v>2</v>
      </c>
      <c r="D11" s="52">
        <v>1</v>
      </c>
      <c r="G11" s="2" t="s">
        <v>156</v>
      </c>
      <c r="H11" s="2">
        <f>COUNTIFS(SPORTSMEN!$K$2:$K$51,ANALYSIS!$G11,SPORTSMEN!$I$2:$I$51,ANALYSIS!H$4)</f>
        <v>6</v>
      </c>
      <c r="I11" s="2">
        <f>COUNTIFS(SPORTSMEN!$K$2:$K$51,ANALYSIS!$G11,SPORTSMEN!$I$2:$I$51,ANALYSIS!I$4)</f>
        <v>3</v>
      </c>
    </row>
    <row r="12" spans="2:9" x14ac:dyDescent="0.3">
      <c r="B12" s="1" t="s">
        <v>161</v>
      </c>
      <c r="C12" s="52">
        <v>3</v>
      </c>
      <c r="D12" s="52"/>
      <c r="G12" s="2" t="s">
        <v>159</v>
      </c>
      <c r="H12" s="2">
        <f>COUNTIFS(SPORTSMEN!$K$2:$K$51,ANALYSIS!$G12,SPORTSMEN!$I$2:$I$51,ANALYSIS!H$4)</f>
        <v>2</v>
      </c>
      <c r="I12" s="2">
        <f>COUNTIFS(SPORTSMEN!$K$2:$K$51,ANALYSIS!$G12,SPORTSMEN!$I$2:$I$51,ANALYSIS!I$4)</f>
        <v>1</v>
      </c>
    </row>
    <row r="13" spans="2:9" x14ac:dyDescent="0.3">
      <c r="B13" s="1" t="s">
        <v>167</v>
      </c>
      <c r="C13" s="52">
        <v>1</v>
      </c>
      <c r="D13" s="52">
        <v>1</v>
      </c>
      <c r="G13" s="2" t="s">
        <v>161</v>
      </c>
      <c r="H13" s="2">
        <f>COUNTIFS(SPORTSMEN!$K$2:$K$51,ANALYSIS!$G13,SPORTSMEN!$I$2:$I$51,ANALYSIS!H$4)</f>
        <v>0</v>
      </c>
      <c r="I13" s="2">
        <f>COUNTIFS(SPORTSMEN!$K$2:$K$51,ANALYSIS!$G13,SPORTSMEN!$I$2:$I$51,ANALYSIS!I$4)</f>
        <v>3</v>
      </c>
    </row>
    <row r="14" spans="2:9" x14ac:dyDescent="0.3">
      <c r="B14" s="1" t="s">
        <v>146</v>
      </c>
      <c r="C14" s="52">
        <v>3</v>
      </c>
      <c r="D14" s="52">
        <v>2</v>
      </c>
      <c r="G14" s="2" t="s">
        <v>164</v>
      </c>
      <c r="H14" s="2">
        <f>COUNTIFS(SPORTSMEN!$K$2:$K$51,ANALYSIS!$G14,SPORTSMEN!$I$2:$I$51,ANALYSIS!H$4)</f>
        <v>1</v>
      </c>
      <c r="I14" s="2">
        <f>COUNTIFS(SPORTSMEN!$K$2:$K$51,ANALYSIS!$G14,SPORTSMEN!$I$2:$I$51,ANALYSIS!I$4)</f>
        <v>2</v>
      </c>
    </row>
    <row r="15" spans="2:9" x14ac:dyDescent="0.3">
      <c r="B15" s="1" t="s">
        <v>140</v>
      </c>
      <c r="C15" s="52">
        <v>4</v>
      </c>
      <c r="D15" s="52">
        <v>3</v>
      </c>
      <c r="G15" s="2" t="s">
        <v>167</v>
      </c>
      <c r="H15" s="2">
        <f>COUNTIFS(SPORTSMEN!$K$2:$K$51,ANALYSIS!$G15,SPORTSMEN!$I$2:$I$51,ANALYSIS!H$4)</f>
        <v>1</v>
      </c>
      <c r="I15" s="2">
        <f>COUNTIFS(SPORTSMEN!$K$2:$K$51,ANALYSIS!$G15,SPORTSMEN!$I$2:$I$51,ANALYSIS!I$4)</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2D23-E1C4-424A-ADA0-F63085CC6705}">
  <sheetPr>
    <tabColor rgb="FFFF0000"/>
  </sheetPr>
  <dimension ref="A3:I454"/>
  <sheetViews>
    <sheetView tabSelected="1" workbookViewId="0">
      <selection activeCell="D3" sqref="D3"/>
    </sheetView>
  </sheetViews>
  <sheetFormatPr defaultRowHeight="14.4" x14ac:dyDescent="0.3"/>
  <cols>
    <col min="1" max="1" width="37.44140625" bestFit="1" customWidth="1"/>
    <col min="2" max="2" width="8.88671875" customWidth="1"/>
    <col min="3" max="3" width="20.77734375" customWidth="1"/>
    <col min="7" max="7" width="13.5546875" customWidth="1"/>
    <col min="8" max="8" width="16.77734375" customWidth="1"/>
    <col min="9" max="9" width="22.109375" bestFit="1" customWidth="1"/>
  </cols>
  <sheetData>
    <row r="3" spans="1:9" x14ac:dyDescent="0.3">
      <c r="A3" s="35" t="s">
        <v>222</v>
      </c>
      <c r="B3" s="35" t="s">
        <v>228</v>
      </c>
      <c r="C3" s="35" t="s">
        <v>221</v>
      </c>
      <c r="D3" s="35" t="s">
        <v>233</v>
      </c>
      <c r="E3" s="35" t="s">
        <v>170</v>
      </c>
      <c r="F3" s="35" t="s">
        <v>423</v>
      </c>
      <c r="G3" s="35" t="s">
        <v>4</v>
      </c>
      <c r="H3" s="35" t="s">
        <v>136</v>
      </c>
      <c r="I3" s="35" t="s">
        <v>172</v>
      </c>
    </row>
    <row r="4" spans="1:9" x14ac:dyDescent="0.3">
      <c r="A4">
        <v>1</v>
      </c>
      <c r="B4" t="s">
        <v>140</v>
      </c>
      <c r="C4" t="s">
        <v>288</v>
      </c>
      <c r="D4" t="s">
        <v>338</v>
      </c>
      <c r="E4" t="s">
        <v>138</v>
      </c>
      <c r="F4" t="s">
        <v>388</v>
      </c>
      <c r="G4" s="26">
        <v>35699</v>
      </c>
      <c r="H4" t="s">
        <v>139</v>
      </c>
      <c r="I4" t="s">
        <v>174</v>
      </c>
    </row>
    <row r="5" spans="1:9" x14ac:dyDescent="0.3">
      <c r="A5">
        <v>1</v>
      </c>
      <c r="B5" t="s">
        <v>140</v>
      </c>
      <c r="C5" t="s">
        <v>288</v>
      </c>
      <c r="D5" t="s">
        <v>338</v>
      </c>
      <c r="E5" t="s">
        <v>138</v>
      </c>
      <c r="F5" t="s">
        <v>388</v>
      </c>
      <c r="G5" s="26">
        <v>35699</v>
      </c>
      <c r="H5" t="s">
        <v>587</v>
      </c>
    </row>
    <row r="6" spans="1:9" x14ac:dyDescent="0.3">
      <c r="A6">
        <v>1</v>
      </c>
      <c r="B6" t="s">
        <v>140</v>
      </c>
      <c r="C6" t="s">
        <v>288</v>
      </c>
      <c r="D6" t="s">
        <v>338</v>
      </c>
      <c r="E6" t="s">
        <v>138</v>
      </c>
      <c r="F6" t="s">
        <v>388</v>
      </c>
      <c r="G6" s="26" t="s">
        <v>588</v>
      </c>
    </row>
    <row r="7" spans="1:9" x14ac:dyDescent="0.3">
      <c r="A7">
        <v>1</v>
      </c>
      <c r="B7" t="s">
        <v>140</v>
      </c>
      <c r="C7" t="s">
        <v>288</v>
      </c>
      <c r="D7" t="s">
        <v>338</v>
      </c>
      <c r="E7" t="s">
        <v>138</v>
      </c>
      <c r="F7" t="s">
        <v>589</v>
      </c>
    </row>
    <row r="8" spans="1:9" x14ac:dyDescent="0.3">
      <c r="A8">
        <v>1</v>
      </c>
      <c r="B8" t="s">
        <v>140</v>
      </c>
      <c r="C8" t="s">
        <v>288</v>
      </c>
      <c r="D8" t="s">
        <v>338</v>
      </c>
      <c r="E8" t="s">
        <v>424</v>
      </c>
    </row>
    <row r="9" spans="1:9" x14ac:dyDescent="0.3">
      <c r="A9">
        <v>1</v>
      </c>
      <c r="B9" t="s">
        <v>140</v>
      </c>
      <c r="C9" t="s">
        <v>288</v>
      </c>
      <c r="D9" t="s">
        <v>425</v>
      </c>
    </row>
    <row r="10" spans="1:9" x14ac:dyDescent="0.3">
      <c r="A10">
        <v>1</v>
      </c>
      <c r="B10" t="s">
        <v>140</v>
      </c>
      <c r="C10" t="s">
        <v>426</v>
      </c>
    </row>
    <row r="11" spans="1:9" x14ac:dyDescent="0.3">
      <c r="A11">
        <v>1</v>
      </c>
      <c r="B11" t="s">
        <v>427</v>
      </c>
    </row>
    <row r="12" spans="1:9" x14ac:dyDescent="0.3">
      <c r="A12" t="s">
        <v>428</v>
      </c>
    </row>
    <row r="13" spans="1:9" x14ac:dyDescent="0.3">
      <c r="A13">
        <v>2</v>
      </c>
      <c r="B13" t="s">
        <v>140</v>
      </c>
      <c r="C13" t="s">
        <v>289</v>
      </c>
      <c r="D13" t="s">
        <v>339</v>
      </c>
      <c r="E13" t="s">
        <v>138</v>
      </c>
      <c r="F13" t="s">
        <v>389</v>
      </c>
      <c r="G13" s="26">
        <v>33641</v>
      </c>
      <c r="H13" t="s">
        <v>139</v>
      </c>
      <c r="I13" t="s">
        <v>175</v>
      </c>
    </row>
    <row r="14" spans="1:9" x14ac:dyDescent="0.3">
      <c r="A14">
        <v>2</v>
      </c>
      <c r="B14" t="s">
        <v>140</v>
      </c>
      <c r="C14" t="s">
        <v>289</v>
      </c>
      <c r="D14" t="s">
        <v>339</v>
      </c>
      <c r="E14" t="s">
        <v>138</v>
      </c>
      <c r="F14" t="s">
        <v>389</v>
      </c>
      <c r="G14" s="26">
        <v>33641</v>
      </c>
      <c r="H14" t="s">
        <v>587</v>
      </c>
    </row>
    <row r="15" spans="1:9" x14ac:dyDescent="0.3">
      <c r="A15">
        <v>2</v>
      </c>
      <c r="B15" t="s">
        <v>140</v>
      </c>
      <c r="C15" t="s">
        <v>289</v>
      </c>
      <c r="D15" t="s">
        <v>339</v>
      </c>
      <c r="E15" t="s">
        <v>138</v>
      </c>
      <c r="F15" t="s">
        <v>389</v>
      </c>
      <c r="G15" s="26" t="s">
        <v>590</v>
      </c>
    </row>
    <row r="16" spans="1:9" x14ac:dyDescent="0.3">
      <c r="A16">
        <v>2</v>
      </c>
      <c r="B16" t="s">
        <v>140</v>
      </c>
      <c r="C16" t="s">
        <v>289</v>
      </c>
      <c r="D16" t="s">
        <v>339</v>
      </c>
      <c r="E16" t="s">
        <v>138</v>
      </c>
      <c r="F16" t="s">
        <v>591</v>
      </c>
    </row>
    <row r="17" spans="1:9" x14ac:dyDescent="0.3">
      <c r="A17">
        <v>2</v>
      </c>
      <c r="B17" t="s">
        <v>140</v>
      </c>
      <c r="C17" t="s">
        <v>289</v>
      </c>
      <c r="D17" t="s">
        <v>339</v>
      </c>
      <c r="E17" t="s">
        <v>424</v>
      </c>
    </row>
    <row r="18" spans="1:9" x14ac:dyDescent="0.3">
      <c r="A18">
        <v>2</v>
      </c>
      <c r="B18" t="s">
        <v>140</v>
      </c>
      <c r="C18" t="s">
        <v>289</v>
      </c>
      <c r="D18" t="s">
        <v>429</v>
      </c>
    </row>
    <row r="19" spans="1:9" x14ac:dyDescent="0.3">
      <c r="A19">
        <v>2</v>
      </c>
      <c r="B19" t="s">
        <v>140</v>
      </c>
      <c r="C19" t="s">
        <v>430</v>
      </c>
    </row>
    <row r="20" spans="1:9" x14ac:dyDescent="0.3">
      <c r="A20">
        <v>2</v>
      </c>
      <c r="B20" t="s">
        <v>427</v>
      </c>
    </row>
    <row r="21" spans="1:9" x14ac:dyDescent="0.3">
      <c r="A21" t="s">
        <v>431</v>
      </c>
    </row>
    <row r="22" spans="1:9" x14ac:dyDescent="0.3">
      <c r="A22">
        <v>3</v>
      </c>
      <c r="B22" t="s">
        <v>144</v>
      </c>
      <c r="C22" t="s">
        <v>290</v>
      </c>
      <c r="D22" t="s">
        <v>340</v>
      </c>
      <c r="E22" t="s">
        <v>142</v>
      </c>
      <c r="F22" t="s">
        <v>390</v>
      </c>
      <c r="G22" s="26">
        <v>25394</v>
      </c>
      <c r="H22" t="s">
        <v>143</v>
      </c>
      <c r="I22" t="s">
        <v>177</v>
      </c>
    </row>
    <row r="23" spans="1:9" x14ac:dyDescent="0.3">
      <c r="A23">
        <v>3</v>
      </c>
      <c r="B23" t="s">
        <v>144</v>
      </c>
      <c r="C23" t="s">
        <v>290</v>
      </c>
      <c r="D23" t="s">
        <v>340</v>
      </c>
      <c r="E23" t="s">
        <v>142</v>
      </c>
      <c r="F23" t="s">
        <v>390</v>
      </c>
      <c r="G23" s="26">
        <v>25394</v>
      </c>
      <c r="H23" t="s">
        <v>592</v>
      </c>
    </row>
    <row r="24" spans="1:9" x14ac:dyDescent="0.3">
      <c r="A24">
        <v>3</v>
      </c>
      <c r="B24" t="s">
        <v>144</v>
      </c>
      <c r="C24" t="s">
        <v>290</v>
      </c>
      <c r="D24" t="s">
        <v>340</v>
      </c>
      <c r="E24" t="s">
        <v>142</v>
      </c>
      <c r="F24" t="s">
        <v>390</v>
      </c>
      <c r="G24" s="26" t="s">
        <v>593</v>
      </c>
    </row>
    <row r="25" spans="1:9" x14ac:dyDescent="0.3">
      <c r="A25">
        <v>3</v>
      </c>
      <c r="B25" t="s">
        <v>144</v>
      </c>
      <c r="C25" t="s">
        <v>290</v>
      </c>
      <c r="D25" t="s">
        <v>340</v>
      </c>
      <c r="E25" t="s">
        <v>142</v>
      </c>
      <c r="F25" t="s">
        <v>594</v>
      </c>
    </row>
    <row r="26" spans="1:9" x14ac:dyDescent="0.3">
      <c r="A26">
        <v>3</v>
      </c>
      <c r="B26" t="s">
        <v>144</v>
      </c>
      <c r="C26" t="s">
        <v>290</v>
      </c>
      <c r="D26" t="s">
        <v>340</v>
      </c>
      <c r="E26" t="s">
        <v>432</v>
      </c>
    </row>
    <row r="27" spans="1:9" x14ac:dyDescent="0.3">
      <c r="A27">
        <v>3</v>
      </c>
      <c r="B27" t="s">
        <v>144</v>
      </c>
      <c r="C27" t="s">
        <v>290</v>
      </c>
      <c r="D27" t="s">
        <v>433</v>
      </c>
    </row>
    <row r="28" spans="1:9" x14ac:dyDescent="0.3">
      <c r="A28">
        <v>3</v>
      </c>
      <c r="B28" t="s">
        <v>144</v>
      </c>
      <c r="C28" t="s">
        <v>434</v>
      </c>
    </row>
    <row r="29" spans="1:9" x14ac:dyDescent="0.3">
      <c r="A29">
        <v>3</v>
      </c>
      <c r="B29" t="s">
        <v>435</v>
      </c>
    </row>
    <row r="30" spans="1:9" x14ac:dyDescent="0.3">
      <c r="A30" t="s">
        <v>436</v>
      </c>
    </row>
    <row r="31" spans="1:9" x14ac:dyDescent="0.3">
      <c r="A31">
        <v>4</v>
      </c>
      <c r="B31" t="s">
        <v>140</v>
      </c>
      <c r="C31" t="s">
        <v>291</v>
      </c>
      <c r="D31" t="s">
        <v>341</v>
      </c>
      <c r="E31" t="s">
        <v>138</v>
      </c>
      <c r="F31" t="s">
        <v>391</v>
      </c>
      <c r="G31" s="26">
        <v>27532</v>
      </c>
      <c r="H31" t="s">
        <v>139</v>
      </c>
      <c r="I31" t="s">
        <v>178</v>
      </c>
    </row>
    <row r="32" spans="1:9" x14ac:dyDescent="0.3">
      <c r="A32">
        <v>4</v>
      </c>
      <c r="B32" t="s">
        <v>140</v>
      </c>
      <c r="C32" t="s">
        <v>291</v>
      </c>
      <c r="D32" t="s">
        <v>341</v>
      </c>
      <c r="E32" t="s">
        <v>138</v>
      </c>
      <c r="F32" t="s">
        <v>391</v>
      </c>
      <c r="G32" s="26">
        <v>27532</v>
      </c>
      <c r="H32" t="s">
        <v>587</v>
      </c>
    </row>
    <row r="33" spans="1:9" x14ac:dyDescent="0.3">
      <c r="A33">
        <v>4</v>
      </c>
      <c r="B33" t="s">
        <v>140</v>
      </c>
      <c r="C33" t="s">
        <v>291</v>
      </c>
      <c r="D33" t="s">
        <v>341</v>
      </c>
      <c r="E33" t="s">
        <v>138</v>
      </c>
      <c r="F33" t="s">
        <v>391</v>
      </c>
      <c r="G33" s="26" t="s">
        <v>595</v>
      </c>
    </row>
    <row r="34" spans="1:9" x14ac:dyDescent="0.3">
      <c r="A34">
        <v>4</v>
      </c>
      <c r="B34" t="s">
        <v>140</v>
      </c>
      <c r="C34" t="s">
        <v>291</v>
      </c>
      <c r="D34" t="s">
        <v>341</v>
      </c>
      <c r="E34" t="s">
        <v>138</v>
      </c>
      <c r="F34" t="s">
        <v>596</v>
      </c>
    </row>
    <row r="35" spans="1:9" x14ac:dyDescent="0.3">
      <c r="A35">
        <v>4</v>
      </c>
      <c r="B35" t="s">
        <v>140</v>
      </c>
      <c r="C35" t="s">
        <v>291</v>
      </c>
      <c r="D35" t="s">
        <v>341</v>
      </c>
      <c r="E35" t="s">
        <v>424</v>
      </c>
    </row>
    <row r="36" spans="1:9" x14ac:dyDescent="0.3">
      <c r="A36">
        <v>4</v>
      </c>
      <c r="B36" t="s">
        <v>140</v>
      </c>
      <c r="C36" t="s">
        <v>291</v>
      </c>
      <c r="D36" t="s">
        <v>437</v>
      </c>
    </row>
    <row r="37" spans="1:9" x14ac:dyDescent="0.3">
      <c r="A37">
        <v>4</v>
      </c>
      <c r="B37" t="s">
        <v>140</v>
      </c>
      <c r="C37" t="s">
        <v>438</v>
      </c>
    </row>
    <row r="38" spans="1:9" x14ac:dyDescent="0.3">
      <c r="A38">
        <v>4</v>
      </c>
      <c r="B38" t="s">
        <v>427</v>
      </c>
    </row>
    <row r="39" spans="1:9" x14ac:dyDescent="0.3">
      <c r="A39" t="s">
        <v>439</v>
      </c>
    </row>
    <row r="40" spans="1:9" x14ac:dyDescent="0.3">
      <c r="A40">
        <v>5</v>
      </c>
      <c r="B40" t="s">
        <v>140</v>
      </c>
      <c r="C40" t="s">
        <v>292</v>
      </c>
      <c r="D40" t="s">
        <v>342</v>
      </c>
      <c r="E40" t="s">
        <v>142</v>
      </c>
      <c r="F40" t="s">
        <v>392</v>
      </c>
      <c r="G40" s="26">
        <v>25706</v>
      </c>
      <c r="H40" t="s">
        <v>139</v>
      </c>
      <c r="I40" t="s">
        <v>179</v>
      </c>
    </row>
    <row r="41" spans="1:9" x14ac:dyDescent="0.3">
      <c r="A41">
        <v>5</v>
      </c>
      <c r="B41" t="s">
        <v>140</v>
      </c>
      <c r="C41" t="s">
        <v>292</v>
      </c>
      <c r="D41" t="s">
        <v>342</v>
      </c>
      <c r="E41" t="s">
        <v>142</v>
      </c>
      <c r="F41" t="s">
        <v>392</v>
      </c>
      <c r="G41" s="26">
        <v>25706</v>
      </c>
      <c r="H41" t="s">
        <v>587</v>
      </c>
    </row>
    <row r="42" spans="1:9" x14ac:dyDescent="0.3">
      <c r="A42">
        <v>5</v>
      </c>
      <c r="B42" t="s">
        <v>140</v>
      </c>
      <c r="C42" t="s">
        <v>292</v>
      </c>
      <c r="D42" t="s">
        <v>342</v>
      </c>
      <c r="E42" t="s">
        <v>142</v>
      </c>
      <c r="F42" t="s">
        <v>392</v>
      </c>
      <c r="G42" s="26" t="s">
        <v>597</v>
      </c>
    </row>
    <row r="43" spans="1:9" x14ac:dyDescent="0.3">
      <c r="A43">
        <v>5</v>
      </c>
      <c r="B43" t="s">
        <v>140</v>
      </c>
      <c r="C43" t="s">
        <v>292</v>
      </c>
      <c r="D43" t="s">
        <v>342</v>
      </c>
      <c r="E43" t="s">
        <v>142</v>
      </c>
      <c r="F43" t="s">
        <v>598</v>
      </c>
    </row>
    <row r="44" spans="1:9" x14ac:dyDescent="0.3">
      <c r="A44">
        <v>5</v>
      </c>
      <c r="B44" t="s">
        <v>140</v>
      </c>
      <c r="C44" t="s">
        <v>292</v>
      </c>
      <c r="D44" t="s">
        <v>342</v>
      </c>
      <c r="E44" t="s">
        <v>432</v>
      </c>
    </row>
    <row r="45" spans="1:9" x14ac:dyDescent="0.3">
      <c r="A45">
        <v>5</v>
      </c>
      <c r="B45" t="s">
        <v>140</v>
      </c>
      <c r="C45" t="s">
        <v>292</v>
      </c>
      <c r="D45" t="s">
        <v>440</v>
      </c>
    </row>
    <row r="46" spans="1:9" x14ac:dyDescent="0.3">
      <c r="A46">
        <v>5</v>
      </c>
      <c r="B46" t="s">
        <v>140</v>
      </c>
      <c r="C46" t="s">
        <v>441</v>
      </c>
    </row>
    <row r="47" spans="1:9" x14ac:dyDescent="0.3">
      <c r="A47">
        <v>5</v>
      </c>
      <c r="B47" t="s">
        <v>427</v>
      </c>
    </row>
    <row r="48" spans="1:9" x14ac:dyDescent="0.3">
      <c r="A48" t="s">
        <v>442</v>
      </c>
    </row>
    <row r="49" spans="1:9" x14ac:dyDescent="0.3">
      <c r="A49">
        <v>6</v>
      </c>
      <c r="B49" t="s">
        <v>140</v>
      </c>
      <c r="C49" t="s">
        <v>293</v>
      </c>
      <c r="D49" t="s">
        <v>343</v>
      </c>
      <c r="E49" t="s">
        <v>142</v>
      </c>
      <c r="F49" t="s">
        <v>389</v>
      </c>
      <c r="G49" s="26">
        <v>33944</v>
      </c>
      <c r="H49" t="s">
        <v>139</v>
      </c>
      <c r="I49" t="s">
        <v>180</v>
      </c>
    </row>
    <row r="50" spans="1:9" x14ac:dyDescent="0.3">
      <c r="A50">
        <v>6</v>
      </c>
      <c r="B50" t="s">
        <v>140</v>
      </c>
      <c r="C50" t="s">
        <v>293</v>
      </c>
      <c r="D50" t="s">
        <v>343</v>
      </c>
      <c r="E50" t="s">
        <v>142</v>
      </c>
      <c r="F50" t="s">
        <v>389</v>
      </c>
      <c r="G50" s="26">
        <v>33944</v>
      </c>
      <c r="H50" t="s">
        <v>587</v>
      </c>
    </row>
    <row r="51" spans="1:9" x14ac:dyDescent="0.3">
      <c r="A51">
        <v>6</v>
      </c>
      <c r="B51" t="s">
        <v>140</v>
      </c>
      <c r="C51" t="s">
        <v>293</v>
      </c>
      <c r="D51" t="s">
        <v>343</v>
      </c>
      <c r="E51" t="s">
        <v>142</v>
      </c>
      <c r="F51" t="s">
        <v>389</v>
      </c>
      <c r="G51" s="26" t="s">
        <v>599</v>
      </c>
    </row>
    <row r="52" spans="1:9" x14ac:dyDescent="0.3">
      <c r="A52">
        <v>6</v>
      </c>
      <c r="B52" t="s">
        <v>140</v>
      </c>
      <c r="C52" t="s">
        <v>293</v>
      </c>
      <c r="D52" t="s">
        <v>343</v>
      </c>
      <c r="E52" t="s">
        <v>142</v>
      </c>
      <c r="F52" t="s">
        <v>591</v>
      </c>
    </row>
    <row r="53" spans="1:9" x14ac:dyDescent="0.3">
      <c r="A53">
        <v>6</v>
      </c>
      <c r="B53" t="s">
        <v>140</v>
      </c>
      <c r="C53" t="s">
        <v>293</v>
      </c>
      <c r="D53" t="s">
        <v>343</v>
      </c>
      <c r="E53" t="s">
        <v>432</v>
      </c>
    </row>
    <row r="54" spans="1:9" x14ac:dyDescent="0.3">
      <c r="A54">
        <v>6</v>
      </c>
      <c r="B54" t="s">
        <v>140</v>
      </c>
      <c r="C54" t="s">
        <v>293</v>
      </c>
      <c r="D54" t="s">
        <v>443</v>
      </c>
    </row>
    <row r="55" spans="1:9" x14ac:dyDescent="0.3">
      <c r="A55">
        <v>6</v>
      </c>
      <c r="B55" t="s">
        <v>140</v>
      </c>
      <c r="C55" t="s">
        <v>444</v>
      </c>
    </row>
    <row r="56" spans="1:9" x14ac:dyDescent="0.3">
      <c r="A56">
        <v>6</v>
      </c>
      <c r="B56" t="s">
        <v>427</v>
      </c>
    </row>
    <row r="57" spans="1:9" x14ac:dyDescent="0.3">
      <c r="A57" t="s">
        <v>445</v>
      </c>
    </row>
    <row r="58" spans="1:9" x14ac:dyDescent="0.3">
      <c r="A58">
        <v>7</v>
      </c>
      <c r="B58" t="s">
        <v>140</v>
      </c>
      <c r="C58" t="s">
        <v>294</v>
      </c>
      <c r="D58" t="s">
        <v>344</v>
      </c>
      <c r="E58" t="s">
        <v>138</v>
      </c>
      <c r="F58" t="s">
        <v>393</v>
      </c>
      <c r="G58" s="26">
        <v>36370</v>
      </c>
      <c r="H58" t="s">
        <v>139</v>
      </c>
      <c r="I58" t="s">
        <v>181</v>
      </c>
    </row>
    <row r="59" spans="1:9" x14ac:dyDescent="0.3">
      <c r="A59">
        <v>7</v>
      </c>
      <c r="B59" t="s">
        <v>140</v>
      </c>
      <c r="C59" t="s">
        <v>294</v>
      </c>
      <c r="D59" t="s">
        <v>344</v>
      </c>
      <c r="E59" t="s">
        <v>138</v>
      </c>
      <c r="F59" t="s">
        <v>393</v>
      </c>
      <c r="G59" s="26">
        <v>36370</v>
      </c>
      <c r="H59" t="s">
        <v>587</v>
      </c>
    </row>
    <row r="60" spans="1:9" x14ac:dyDescent="0.3">
      <c r="A60">
        <v>7</v>
      </c>
      <c r="B60" t="s">
        <v>140</v>
      </c>
      <c r="C60" t="s">
        <v>294</v>
      </c>
      <c r="D60" t="s">
        <v>344</v>
      </c>
      <c r="E60" t="s">
        <v>138</v>
      </c>
      <c r="F60" t="s">
        <v>393</v>
      </c>
      <c r="G60" s="26" t="s">
        <v>600</v>
      </c>
    </row>
    <row r="61" spans="1:9" x14ac:dyDescent="0.3">
      <c r="A61">
        <v>7</v>
      </c>
      <c r="B61" t="s">
        <v>140</v>
      </c>
      <c r="C61" t="s">
        <v>294</v>
      </c>
      <c r="D61" t="s">
        <v>344</v>
      </c>
      <c r="E61" t="s">
        <v>138</v>
      </c>
      <c r="F61" t="s">
        <v>601</v>
      </c>
    </row>
    <row r="62" spans="1:9" x14ac:dyDescent="0.3">
      <c r="A62">
        <v>7</v>
      </c>
      <c r="B62" t="s">
        <v>140</v>
      </c>
      <c r="C62" t="s">
        <v>294</v>
      </c>
      <c r="D62" t="s">
        <v>344</v>
      </c>
      <c r="E62" t="s">
        <v>424</v>
      </c>
    </row>
    <row r="63" spans="1:9" x14ac:dyDescent="0.3">
      <c r="A63">
        <v>7</v>
      </c>
      <c r="B63" t="s">
        <v>140</v>
      </c>
      <c r="C63" t="s">
        <v>294</v>
      </c>
      <c r="D63" t="s">
        <v>446</v>
      </c>
    </row>
    <row r="64" spans="1:9" x14ac:dyDescent="0.3">
      <c r="A64">
        <v>7</v>
      </c>
      <c r="B64" t="s">
        <v>140</v>
      </c>
      <c r="C64" t="s">
        <v>447</v>
      </c>
    </row>
    <row r="65" spans="1:9" x14ac:dyDescent="0.3">
      <c r="A65">
        <v>7</v>
      </c>
      <c r="B65" t="s">
        <v>427</v>
      </c>
    </row>
    <row r="66" spans="1:9" x14ac:dyDescent="0.3">
      <c r="A66" t="s">
        <v>448</v>
      </c>
    </row>
    <row r="67" spans="1:9" x14ac:dyDescent="0.3">
      <c r="A67">
        <v>8</v>
      </c>
      <c r="B67" t="s">
        <v>140</v>
      </c>
      <c r="C67" t="s">
        <v>295</v>
      </c>
      <c r="D67" t="s">
        <v>345</v>
      </c>
      <c r="E67" t="s">
        <v>142</v>
      </c>
      <c r="F67" t="s">
        <v>394</v>
      </c>
      <c r="G67" s="26">
        <v>23141</v>
      </c>
      <c r="H67" t="s">
        <v>139</v>
      </c>
      <c r="I67" t="s">
        <v>182</v>
      </c>
    </row>
    <row r="68" spans="1:9" x14ac:dyDescent="0.3">
      <c r="A68">
        <v>8</v>
      </c>
      <c r="B68" t="s">
        <v>140</v>
      </c>
      <c r="C68" t="s">
        <v>295</v>
      </c>
      <c r="D68" t="s">
        <v>345</v>
      </c>
      <c r="E68" t="s">
        <v>142</v>
      </c>
      <c r="F68" t="s">
        <v>394</v>
      </c>
      <c r="G68" s="26">
        <v>23141</v>
      </c>
      <c r="H68" t="s">
        <v>587</v>
      </c>
    </row>
    <row r="69" spans="1:9" x14ac:dyDescent="0.3">
      <c r="A69">
        <v>8</v>
      </c>
      <c r="B69" t="s">
        <v>140</v>
      </c>
      <c r="C69" t="s">
        <v>295</v>
      </c>
      <c r="D69" t="s">
        <v>345</v>
      </c>
      <c r="E69" t="s">
        <v>142</v>
      </c>
      <c r="F69" t="s">
        <v>394</v>
      </c>
      <c r="G69" s="26" t="s">
        <v>602</v>
      </c>
    </row>
    <row r="70" spans="1:9" x14ac:dyDescent="0.3">
      <c r="A70">
        <v>8</v>
      </c>
      <c r="B70" t="s">
        <v>140</v>
      </c>
      <c r="C70" t="s">
        <v>295</v>
      </c>
      <c r="D70" t="s">
        <v>345</v>
      </c>
      <c r="E70" t="s">
        <v>142</v>
      </c>
      <c r="F70" t="s">
        <v>603</v>
      </c>
    </row>
    <row r="71" spans="1:9" x14ac:dyDescent="0.3">
      <c r="A71">
        <v>8</v>
      </c>
      <c r="B71" t="s">
        <v>140</v>
      </c>
      <c r="C71" t="s">
        <v>295</v>
      </c>
      <c r="D71" t="s">
        <v>345</v>
      </c>
      <c r="E71" t="s">
        <v>432</v>
      </c>
    </row>
    <row r="72" spans="1:9" x14ac:dyDescent="0.3">
      <c r="A72">
        <v>8</v>
      </c>
      <c r="B72" t="s">
        <v>140</v>
      </c>
      <c r="C72" t="s">
        <v>295</v>
      </c>
      <c r="D72" t="s">
        <v>449</v>
      </c>
    </row>
    <row r="73" spans="1:9" x14ac:dyDescent="0.3">
      <c r="A73">
        <v>8</v>
      </c>
      <c r="B73" t="s">
        <v>140</v>
      </c>
      <c r="C73" t="s">
        <v>450</v>
      </c>
    </row>
    <row r="74" spans="1:9" x14ac:dyDescent="0.3">
      <c r="A74">
        <v>8</v>
      </c>
      <c r="B74" t="s">
        <v>427</v>
      </c>
    </row>
    <row r="75" spans="1:9" x14ac:dyDescent="0.3">
      <c r="A75" t="s">
        <v>451</v>
      </c>
    </row>
    <row r="76" spans="1:9" x14ac:dyDescent="0.3">
      <c r="A76">
        <v>9</v>
      </c>
      <c r="B76" t="s">
        <v>146</v>
      </c>
      <c r="C76" t="s">
        <v>296</v>
      </c>
      <c r="D76" t="s">
        <v>346</v>
      </c>
      <c r="E76" t="s">
        <v>138</v>
      </c>
      <c r="F76" t="s">
        <v>395</v>
      </c>
      <c r="G76" s="26">
        <v>25965</v>
      </c>
      <c r="H76" t="s">
        <v>139</v>
      </c>
      <c r="I76" t="s">
        <v>183</v>
      </c>
    </row>
    <row r="77" spans="1:9" x14ac:dyDescent="0.3">
      <c r="A77">
        <v>9</v>
      </c>
      <c r="B77" t="s">
        <v>146</v>
      </c>
      <c r="C77" t="s">
        <v>296</v>
      </c>
      <c r="D77" t="s">
        <v>346</v>
      </c>
      <c r="E77" t="s">
        <v>138</v>
      </c>
      <c r="F77" t="s">
        <v>395</v>
      </c>
      <c r="G77" s="26">
        <v>25965</v>
      </c>
      <c r="H77" t="s">
        <v>587</v>
      </c>
    </row>
    <row r="78" spans="1:9" x14ac:dyDescent="0.3">
      <c r="A78">
        <v>9</v>
      </c>
      <c r="B78" t="s">
        <v>146</v>
      </c>
      <c r="C78" t="s">
        <v>296</v>
      </c>
      <c r="D78" t="s">
        <v>346</v>
      </c>
      <c r="E78" t="s">
        <v>138</v>
      </c>
      <c r="F78" t="s">
        <v>395</v>
      </c>
      <c r="G78" s="26" t="s">
        <v>604</v>
      </c>
    </row>
    <row r="79" spans="1:9" x14ac:dyDescent="0.3">
      <c r="A79">
        <v>9</v>
      </c>
      <c r="B79" t="s">
        <v>146</v>
      </c>
      <c r="C79" t="s">
        <v>296</v>
      </c>
      <c r="D79" t="s">
        <v>346</v>
      </c>
      <c r="E79" t="s">
        <v>138</v>
      </c>
      <c r="F79" t="s">
        <v>605</v>
      </c>
    </row>
    <row r="80" spans="1:9" x14ac:dyDescent="0.3">
      <c r="A80">
        <v>9</v>
      </c>
      <c r="B80" t="s">
        <v>146</v>
      </c>
      <c r="C80" t="s">
        <v>296</v>
      </c>
      <c r="D80" t="s">
        <v>346</v>
      </c>
      <c r="E80" t="s">
        <v>424</v>
      </c>
    </row>
    <row r="81" spans="1:9" x14ac:dyDescent="0.3">
      <c r="A81">
        <v>9</v>
      </c>
      <c r="B81" t="s">
        <v>146</v>
      </c>
      <c r="C81" t="s">
        <v>296</v>
      </c>
      <c r="D81" t="s">
        <v>452</v>
      </c>
    </row>
    <row r="82" spans="1:9" x14ac:dyDescent="0.3">
      <c r="A82">
        <v>9</v>
      </c>
      <c r="B82" t="s">
        <v>146</v>
      </c>
      <c r="C82" t="s">
        <v>453</v>
      </c>
    </row>
    <row r="83" spans="1:9" x14ac:dyDescent="0.3">
      <c r="A83">
        <v>9</v>
      </c>
      <c r="B83" t="s">
        <v>454</v>
      </c>
    </row>
    <row r="84" spans="1:9" x14ac:dyDescent="0.3">
      <c r="A84" t="s">
        <v>455</v>
      </c>
    </row>
    <row r="85" spans="1:9" x14ac:dyDescent="0.3">
      <c r="A85">
        <v>10</v>
      </c>
      <c r="B85" t="s">
        <v>146</v>
      </c>
      <c r="C85" t="s">
        <v>297</v>
      </c>
      <c r="D85" t="s">
        <v>347</v>
      </c>
      <c r="E85" t="s">
        <v>142</v>
      </c>
      <c r="F85" t="s">
        <v>396</v>
      </c>
      <c r="G85" s="26">
        <v>23732</v>
      </c>
      <c r="H85" t="s">
        <v>139</v>
      </c>
      <c r="I85" t="s">
        <v>181</v>
      </c>
    </row>
    <row r="86" spans="1:9" x14ac:dyDescent="0.3">
      <c r="A86">
        <v>10</v>
      </c>
      <c r="B86" t="s">
        <v>146</v>
      </c>
      <c r="C86" t="s">
        <v>297</v>
      </c>
      <c r="D86" t="s">
        <v>347</v>
      </c>
      <c r="E86" t="s">
        <v>142</v>
      </c>
      <c r="F86" t="s">
        <v>396</v>
      </c>
      <c r="G86" s="26">
        <v>23732</v>
      </c>
      <c r="H86" t="s">
        <v>587</v>
      </c>
    </row>
    <row r="87" spans="1:9" x14ac:dyDescent="0.3">
      <c r="A87">
        <v>10</v>
      </c>
      <c r="B87" t="s">
        <v>146</v>
      </c>
      <c r="C87" t="s">
        <v>297</v>
      </c>
      <c r="D87" t="s">
        <v>347</v>
      </c>
      <c r="E87" t="s">
        <v>142</v>
      </c>
      <c r="F87" t="s">
        <v>396</v>
      </c>
      <c r="G87" s="26" t="s">
        <v>606</v>
      </c>
    </row>
    <row r="88" spans="1:9" x14ac:dyDescent="0.3">
      <c r="A88">
        <v>10</v>
      </c>
      <c r="B88" t="s">
        <v>146</v>
      </c>
      <c r="C88" t="s">
        <v>297</v>
      </c>
      <c r="D88" t="s">
        <v>347</v>
      </c>
      <c r="E88" t="s">
        <v>142</v>
      </c>
      <c r="F88" t="s">
        <v>607</v>
      </c>
    </row>
    <row r="89" spans="1:9" x14ac:dyDescent="0.3">
      <c r="A89">
        <v>10</v>
      </c>
      <c r="B89" t="s">
        <v>146</v>
      </c>
      <c r="C89" t="s">
        <v>297</v>
      </c>
      <c r="D89" t="s">
        <v>347</v>
      </c>
      <c r="E89" t="s">
        <v>432</v>
      </c>
    </row>
    <row r="90" spans="1:9" x14ac:dyDescent="0.3">
      <c r="A90">
        <v>10</v>
      </c>
      <c r="B90" t="s">
        <v>146</v>
      </c>
      <c r="C90" t="s">
        <v>297</v>
      </c>
      <c r="D90" t="s">
        <v>456</v>
      </c>
    </row>
    <row r="91" spans="1:9" x14ac:dyDescent="0.3">
      <c r="A91">
        <v>10</v>
      </c>
      <c r="B91" t="s">
        <v>146</v>
      </c>
      <c r="C91" t="s">
        <v>457</v>
      </c>
    </row>
    <row r="92" spans="1:9" x14ac:dyDescent="0.3">
      <c r="A92">
        <v>10</v>
      </c>
      <c r="B92" t="s">
        <v>454</v>
      </c>
    </row>
    <row r="93" spans="1:9" x14ac:dyDescent="0.3">
      <c r="A93" t="s">
        <v>458</v>
      </c>
    </row>
    <row r="94" spans="1:9" x14ac:dyDescent="0.3">
      <c r="A94">
        <v>11</v>
      </c>
      <c r="B94" t="s">
        <v>146</v>
      </c>
      <c r="C94" t="s">
        <v>298</v>
      </c>
      <c r="D94" t="s">
        <v>348</v>
      </c>
      <c r="E94" t="s">
        <v>142</v>
      </c>
      <c r="F94" t="s">
        <v>397</v>
      </c>
      <c r="G94" s="26">
        <v>31733</v>
      </c>
      <c r="H94" t="s">
        <v>139</v>
      </c>
      <c r="I94" t="s">
        <v>184</v>
      </c>
    </row>
    <row r="95" spans="1:9" x14ac:dyDescent="0.3">
      <c r="A95">
        <v>11</v>
      </c>
      <c r="B95" t="s">
        <v>146</v>
      </c>
      <c r="C95" t="s">
        <v>298</v>
      </c>
      <c r="D95" t="s">
        <v>348</v>
      </c>
      <c r="E95" t="s">
        <v>142</v>
      </c>
      <c r="F95" t="s">
        <v>397</v>
      </c>
      <c r="G95" s="26">
        <v>31733</v>
      </c>
      <c r="H95" t="s">
        <v>587</v>
      </c>
    </row>
    <row r="96" spans="1:9" x14ac:dyDescent="0.3">
      <c r="A96">
        <v>11</v>
      </c>
      <c r="B96" t="s">
        <v>146</v>
      </c>
      <c r="C96" t="s">
        <v>298</v>
      </c>
      <c r="D96" t="s">
        <v>348</v>
      </c>
      <c r="E96" t="s">
        <v>142</v>
      </c>
      <c r="F96" t="s">
        <v>397</v>
      </c>
      <c r="G96" s="26" t="s">
        <v>608</v>
      </c>
    </row>
    <row r="97" spans="1:9" x14ac:dyDescent="0.3">
      <c r="A97">
        <v>11</v>
      </c>
      <c r="B97" t="s">
        <v>146</v>
      </c>
      <c r="C97" t="s">
        <v>298</v>
      </c>
      <c r="D97" t="s">
        <v>348</v>
      </c>
      <c r="E97" t="s">
        <v>142</v>
      </c>
      <c r="F97" t="s">
        <v>609</v>
      </c>
    </row>
    <row r="98" spans="1:9" x14ac:dyDescent="0.3">
      <c r="A98">
        <v>11</v>
      </c>
      <c r="B98" t="s">
        <v>146</v>
      </c>
      <c r="C98" t="s">
        <v>298</v>
      </c>
      <c r="D98" t="s">
        <v>348</v>
      </c>
      <c r="E98" t="s">
        <v>432</v>
      </c>
    </row>
    <row r="99" spans="1:9" x14ac:dyDescent="0.3">
      <c r="A99">
        <v>11</v>
      </c>
      <c r="B99" t="s">
        <v>146</v>
      </c>
      <c r="C99" t="s">
        <v>298</v>
      </c>
      <c r="D99" t="s">
        <v>459</v>
      </c>
    </row>
    <row r="100" spans="1:9" x14ac:dyDescent="0.3">
      <c r="A100">
        <v>11</v>
      </c>
      <c r="B100" t="s">
        <v>146</v>
      </c>
      <c r="C100" t="s">
        <v>460</v>
      </c>
    </row>
    <row r="101" spans="1:9" x14ac:dyDescent="0.3">
      <c r="A101">
        <v>11</v>
      </c>
      <c r="B101" t="s">
        <v>454</v>
      </c>
    </row>
    <row r="102" spans="1:9" x14ac:dyDescent="0.3">
      <c r="A102" t="s">
        <v>461</v>
      </c>
    </row>
    <row r="103" spans="1:9" x14ac:dyDescent="0.3">
      <c r="A103">
        <v>12</v>
      </c>
      <c r="B103" t="s">
        <v>146</v>
      </c>
      <c r="C103" t="s">
        <v>299</v>
      </c>
      <c r="D103" t="s">
        <v>349</v>
      </c>
      <c r="E103" t="s">
        <v>138</v>
      </c>
      <c r="F103" t="s">
        <v>398</v>
      </c>
      <c r="G103" s="26">
        <v>28412</v>
      </c>
      <c r="H103" t="s">
        <v>139</v>
      </c>
      <c r="I103" t="s">
        <v>185</v>
      </c>
    </row>
    <row r="104" spans="1:9" x14ac:dyDescent="0.3">
      <c r="A104">
        <v>12</v>
      </c>
      <c r="B104" t="s">
        <v>146</v>
      </c>
      <c r="C104" t="s">
        <v>299</v>
      </c>
      <c r="D104" t="s">
        <v>349</v>
      </c>
      <c r="E104" t="s">
        <v>138</v>
      </c>
      <c r="F104" t="s">
        <v>398</v>
      </c>
      <c r="G104" s="26">
        <v>28412</v>
      </c>
      <c r="H104" t="s">
        <v>587</v>
      </c>
    </row>
    <row r="105" spans="1:9" x14ac:dyDescent="0.3">
      <c r="A105">
        <v>12</v>
      </c>
      <c r="B105" t="s">
        <v>146</v>
      </c>
      <c r="C105" t="s">
        <v>299</v>
      </c>
      <c r="D105" t="s">
        <v>349</v>
      </c>
      <c r="E105" t="s">
        <v>138</v>
      </c>
      <c r="F105" t="s">
        <v>398</v>
      </c>
      <c r="G105" s="26" t="s">
        <v>610</v>
      </c>
    </row>
    <row r="106" spans="1:9" x14ac:dyDescent="0.3">
      <c r="A106">
        <v>12</v>
      </c>
      <c r="B106" t="s">
        <v>146</v>
      </c>
      <c r="C106" t="s">
        <v>299</v>
      </c>
      <c r="D106" t="s">
        <v>349</v>
      </c>
      <c r="E106" t="s">
        <v>138</v>
      </c>
      <c r="F106" t="s">
        <v>611</v>
      </c>
    </row>
    <row r="107" spans="1:9" x14ac:dyDescent="0.3">
      <c r="A107">
        <v>12</v>
      </c>
      <c r="B107" t="s">
        <v>146</v>
      </c>
      <c r="C107" t="s">
        <v>299</v>
      </c>
      <c r="D107" t="s">
        <v>349</v>
      </c>
      <c r="E107" t="s">
        <v>424</v>
      </c>
    </row>
    <row r="108" spans="1:9" x14ac:dyDescent="0.3">
      <c r="A108">
        <v>12</v>
      </c>
      <c r="B108" t="s">
        <v>146</v>
      </c>
      <c r="C108" t="s">
        <v>299</v>
      </c>
      <c r="D108" t="s">
        <v>462</v>
      </c>
    </row>
    <row r="109" spans="1:9" x14ac:dyDescent="0.3">
      <c r="A109">
        <v>12</v>
      </c>
      <c r="B109" t="s">
        <v>146</v>
      </c>
      <c r="C109" t="s">
        <v>463</v>
      </c>
    </row>
    <row r="110" spans="1:9" x14ac:dyDescent="0.3">
      <c r="A110">
        <v>12</v>
      </c>
      <c r="B110" t="s">
        <v>454</v>
      </c>
    </row>
    <row r="111" spans="1:9" x14ac:dyDescent="0.3">
      <c r="A111" t="s">
        <v>464</v>
      </c>
    </row>
    <row r="112" spans="1:9" x14ac:dyDescent="0.3">
      <c r="A112">
        <v>13</v>
      </c>
      <c r="B112" t="s">
        <v>146</v>
      </c>
      <c r="C112" t="s">
        <v>300</v>
      </c>
      <c r="D112" t="s">
        <v>350</v>
      </c>
      <c r="E112" t="s">
        <v>138</v>
      </c>
      <c r="F112" t="s">
        <v>398</v>
      </c>
      <c r="G112" s="26">
        <v>28168</v>
      </c>
      <c r="H112" t="s">
        <v>139</v>
      </c>
      <c r="I112" t="s">
        <v>186</v>
      </c>
    </row>
    <row r="113" spans="1:9" x14ac:dyDescent="0.3">
      <c r="A113">
        <v>13</v>
      </c>
      <c r="B113" t="s">
        <v>146</v>
      </c>
      <c r="C113" t="s">
        <v>300</v>
      </c>
      <c r="D113" t="s">
        <v>350</v>
      </c>
      <c r="E113" t="s">
        <v>138</v>
      </c>
      <c r="F113" t="s">
        <v>398</v>
      </c>
      <c r="G113" s="26">
        <v>28168</v>
      </c>
      <c r="H113" t="s">
        <v>587</v>
      </c>
    </row>
    <row r="114" spans="1:9" x14ac:dyDescent="0.3">
      <c r="A114">
        <v>13</v>
      </c>
      <c r="B114" t="s">
        <v>146</v>
      </c>
      <c r="C114" t="s">
        <v>300</v>
      </c>
      <c r="D114" t="s">
        <v>350</v>
      </c>
      <c r="E114" t="s">
        <v>138</v>
      </c>
      <c r="F114" t="s">
        <v>398</v>
      </c>
      <c r="G114" s="26" t="s">
        <v>612</v>
      </c>
    </row>
    <row r="115" spans="1:9" x14ac:dyDescent="0.3">
      <c r="A115">
        <v>13</v>
      </c>
      <c r="B115" t="s">
        <v>146</v>
      </c>
      <c r="C115" t="s">
        <v>300</v>
      </c>
      <c r="D115" t="s">
        <v>350</v>
      </c>
      <c r="E115" t="s">
        <v>138</v>
      </c>
      <c r="F115" t="s">
        <v>611</v>
      </c>
    </row>
    <row r="116" spans="1:9" x14ac:dyDescent="0.3">
      <c r="A116">
        <v>13</v>
      </c>
      <c r="B116" t="s">
        <v>146</v>
      </c>
      <c r="C116" t="s">
        <v>300</v>
      </c>
      <c r="D116" t="s">
        <v>350</v>
      </c>
      <c r="E116" t="s">
        <v>424</v>
      </c>
    </row>
    <row r="117" spans="1:9" x14ac:dyDescent="0.3">
      <c r="A117">
        <v>13</v>
      </c>
      <c r="B117" t="s">
        <v>146</v>
      </c>
      <c r="C117" t="s">
        <v>300</v>
      </c>
      <c r="D117" t="s">
        <v>465</v>
      </c>
    </row>
    <row r="118" spans="1:9" x14ac:dyDescent="0.3">
      <c r="A118">
        <v>13</v>
      </c>
      <c r="B118" t="s">
        <v>146</v>
      </c>
      <c r="C118" t="s">
        <v>466</v>
      </c>
    </row>
    <row r="119" spans="1:9" x14ac:dyDescent="0.3">
      <c r="A119">
        <v>13</v>
      </c>
      <c r="B119" t="s">
        <v>454</v>
      </c>
    </row>
    <row r="120" spans="1:9" x14ac:dyDescent="0.3">
      <c r="A120" t="s">
        <v>467</v>
      </c>
    </row>
    <row r="121" spans="1:9" x14ac:dyDescent="0.3">
      <c r="A121">
        <v>14</v>
      </c>
      <c r="B121" t="s">
        <v>149</v>
      </c>
      <c r="C121" t="s">
        <v>301</v>
      </c>
      <c r="D121" t="s">
        <v>351</v>
      </c>
      <c r="E121" t="s">
        <v>142</v>
      </c>
      <c r="F121" t="s">
        <v>399</v>
      </c>
      <c r="G121" s="26">
        <v>21788</v>
      </c>
      <c r="H121" t="s">
        <v>148</v>
      </c>
      <c r="I121" t="s">
        <v>187</v>
      </c>
    </row>
    <row r="122" spans="1:9" x14ac:dyDescent="0.3">
      <c r="A122">
        <v>14</v>
      </c>
      <c r="B122" t="s">
        <v>149</v>
      </c>
      <c r="C122" t="s">
        <v>301</v>
      </c>
      <c r="D122" t="s">
        <v>351</v>
      </c>
      <c r="E122" t="s">
        <v>142</v>
      </c>
      <c r="F122" t="s">
        <v>399</v>
      </c>
      <c r="G122" s="26">
        <v>21788</v>
      </c>
      <c r="H122" t="s">
        <v>613</v>
      </c>
    </row>
    <row r="123" spans="1:9" x14ac:dyDescent="0.3">
      <c r="A123">
        <v>14</v>
      </c>
      <c r="B123" t="s">
        <v>149</v>
      </c>
      <c r="C123" t="s">
        <v>301</v>
      </c>
      <c r="D123" t="s">
        <v>351</v>
      </c>
      <c r="E123" t="s">
        <v>142</v>
      </c>
      <c r="F123" t="s">
        <v>399</v>
      </c>
      <c r="G123" s="26" t="s">
        <v>614</v>
      </c>
    </row>
    <row r="124" spans="1:9" x14ac:dyDescent="0.3">
      <c r="A124">
        <v>14</v>
      </c>
      <c r="B124" t="s">
        <v>149</v>
      </c>
      <c r="C124" t="s">
        <v>301</v>
      </c>
      <c r="D124" t="s">
        <v>351</v>
      </c>
      <c r="E124" t="s">
        <v>142</v>
      </c>
      <c r="F124" t="s">
        <v>615</v>
      </c>
    </row>
    <row r="125" spans="1:9" x14ac:dyDescent="0.3">
      <c r="A125">
        <v>14</v>
      </c>
      <c r="B125" t="s">
        <v>149</v>
      </c>
      <c r="C125" t="s">
        <v>301</v>
      </c>
      <c r="D125" t="s">
        <v>351</v>
      </c>
      <c r="E125" t="s">
        <v>432</v>
      </c>
    </row>
    <row r="126" spans="1:9" x14ac:dyDescent="0.3">
      <c r="A126">
        <v>14</v>
      </c>
      <c r="B126" t="s">
        <v>149</v>
      </c>
      <c r="C126" t="s">
        <v>301</v>
      </c>
      <c r="D126" t="s">
        <v>468</v>
      </c>
    </row>
    <row r="127" spans="1:9" x14ac:dyDescent="0.3">
      <c r="A127">
        <v>14</v>
      </c>
      <c r="B127" t="s">
        <v>149</v>
      </c>
      <c r="C127" t="s">
        <v>469</v>
      </c>
    </row>
    <row r="128" spans="1:9" x14ac:dyDescent="0.3">
      <c r="A128">
        <v>14</v>
      </c>
      <c r="B128" t="s">
        <v>470</v>
      </c>
    </row>
    <row r="129" spans="1:9" x14ac:dyDescent="0.3">
      <c r="A129" t="s">
        <v>471</v>
      </c>
    </row>
    <row r="130" spans="1:9" x14ac:dyDescent="0.3">
      <c r="A130">
        <v>15</v>
      </c>
      <c r="B130" t="s">
        <v>149</v>
      </c>
      <c r="C130" t="s">
        <v>302</v>
      </c>
      <c r="D130" t="s">
        <v>352</v>
      </c>
      <c r="E130" t="s">
        <v>138</v>
      </c>
      <c r="F130" t="s">
        <v>400</v>
      </c>
      <c r="G130" s="26">
        <v>23804</v>
      </c>
      <c r="H130" t="s">
        <v>148</v>
      </c>
      <c r="I130" t="s">
        <v>188</v>
      </c>
    </row>
    <row r="131" spans="1:9" x14ac:dyDescent="0.3">
      <c r="A131">
        <v>15</v>
      </c>
      <c r="B131" t="s">
        <v>149</v>
      </c>
      <c r="C131" t="s">
        <v>302</v>
      </c>
      <c r="D131" t="s">
        <v>352</v>
      </c>
      <c r="E131" t="s">
        <v>138</v>
      </c>
      <c r="F131" t="s">
        <v>400</v>
      </c>
      <c r="G131" s="26">
        <v>23804</v>
      </c>
      <c r="H131" t="s">
        <v>613</v>
      </c>
    </row>
    <row r="132" spans="1:9" x14ac:dyDescent="0.3">
      <c r="A132">
        <v>15</v>
      </c>
      <c r="B132" t="s">
        <v>149</v>
      </c>
      <c r="C132" t="s">
        <v>302</v>
      </c>
      <c r="D132" t="s">
        <v>352</v>
      </c>
      <c r="E132" t="s">
        <v>138</v>
      </c>
      <c r="F132" t="s">
        <v>400</v>
      </c>
      <c r="G132" s="26" t="s">
        <v>616</v>
      </c>
    </row>
    <row r="133" spans="1:9" x14ac:dyDescent="0.3">
      <c r="A133">
        <v>15</v>
      </c>
      <c r="B133" t="s">
        <v>149</v>
      </c>
      <c r="C133" t="s">
        <v>302</v>
      </c>
      <c r="D133" t="s">
        <v>352</v>
      </c>
      <c r="E133" t="s">
        <v>138</v>
      </c>
      <c r="F133" t="s">
        <v>617</v>
      </c>
    </row>
    <row r="134" spans="1:9" x14ac:dyDescent="0.3">
      <c r="A134">
        <v>15</v>
      </c>
      <c r="B134" t="s">
        <v>149</v>
      </c>
      <c r="C134" t="s">
        <v>302</v>
      </c>
      <c r="D134" t="s">
        <v>352</v>
      </c>
      <c r="E134" t="s">
        <v>424</v>
      </c>
    </row>
    <row r="135" spans="1:9" x14ac:dyDescent="0.3">
      <c r="A135">
        <v>15</v>
      </c>
      <c r="B135" t="s">
        <v>149</v>
      </c>
      <c r="C135" t="s">
        <v>302</v>
      </c>
      <c r="D135" t="s">
        <v>472</v>
      </c>
    </row>
    <row r="136" spans="1:9" x14ac:dyDescent="0.3">
      <c r="A136">
        <v>15</v>
      </c>
      <c r="B136" t="s">
        <v>149</v>
      </c>
      <c r="C136" t="s">
        <v>473</v>
      </c>
    </row>
    <row r="137" spans="1:9" x14ac:dyDescent="0.3">
      <c r="A137">
        <v>15</v>
      </c>
      <c r="B137" t="s">
        <v>470</v>
      </c>
    </row>
    <row r="138" spans="1:9" x14ac:dyDescent="0.3">
      <c r="A138" t="s">
        <v>474</v>
      </c>
    </row>
    <row r="139" spans="1:9" x14ac:dyDescent="0.3">
      <c r="A139">
        <v>16</v>
      </c>
      <c r="B139" t="s">
        <v>149</v>
      </c>
      <c r="C139" t="s">
        <v>303</v>
      </c>
      <c r="D139" t="s">
        <v>353</v>
      </c>
      <c r="E139" t="s">
        <v>142</v>
      </c>
      <c r="F139" t="s">
        <v>390</v>
      </c>
      <c r="G139" s="26">
        <v>25405</v>
      </c>
      <c r="H139" t="s">
        <v>148</v>
      </c>
      <c r="I139" t="s">
        <v>178</v>
      </c>
    </row>
    <row r="140" spans="1:9" x14ac:dyDescent="0.3">
      <c r="A140">
        <v>16</v>
      </c>
      <c r="B140" t="s">
        <v>149</v>
      </c>
      <c r="C140" t="s">
        <v>303</v>
      </c>
      <c r="D140" t="s">
        <v>353</v>
      </c>
      <c r="E140" t="s">
        <v>142</v>
      </c>
      <c r="F140" t="s">
        <v>390</v>
      </c>
      <c r="G140" s="26">
        <v>25405</v>
      </c>
      <c r="H140" t="s">
        <v>613</v>
      </c>
    </row>
    <row r="141" spans="1:9" x14ac:dyDescent="0.3">
      <c r="A141">
        <v>16</v>
      </c>
      <c r="B141" t="s">
        <v>149</v>
      </c>
      <c r="C141" t="s">
        <v>303</v>
      </c>
      <c r="D141" t="s">
        <v>353</v>
      </c>
      <c r="E141" t="s">
        <v>142</v>
      </c>
      <c r="F141" t="s">
        <v>390</v>
      </c>
      <c r="G141" s="26" t="s">
        <v>618</v>
      </c>
    </row>
    <row r="142" spans="1:9" x14ac:dyDescent="0.3">
      <c r="A142">
        <v>16</v>
      </c>
      <c r="B142" t="s">
        <v>149</v>
      </c>
      <c r="C142" t="s">
        <v>303</v>
      </c>
      <c r="D142" t="s">
        <v>353</v>
      </c>
      <c r="E142" t="s">
        <v>142</v>
      </c>
      <c r="F142" t="s">
        <v>594</v>
      </c>
    </row>
    <row r="143" spans="1:9" x14ac:dyDescent="0.3">
      <c r="A143">
        <v>16</v>
      </c>
      <c r="B143" t="s">
        <v>149</v>
      </c>
      <c r="C143" t="s">
        <v>303</v>
      </c>
      <c r="D143" t="s">
        <v>353</v>
      </c>
      <c r="E143" t="s">
        <v>432</v>
      </c>
    </row>
    <row r="144" spans="1:9" x14ac:dyDescent="0.3">
      <c r="A144">
        <v>16</v>
      </c>
      <c r="B144" t="s">
        <v>149</v>
      </c>
      <c r="C144" t="s">
        <v>303</v>
      </c>
      <c r="D144" t="s">
        <v>475</v>
      </c>
    </row>
    <row r="145" spans="1:9" x14ac:dyDescent="0.3">
      <c r="A145">
        <v>16</v>
      </c>
      <c r="B145" t="s">
        <v>149</v>
      </c>
      <c r="C145" t="s">
        <v>476</v>
      </c>
    </row>
    <row r="146" spans="1:9" x14ac:dyDescent="0.3">
      <c r="A146">
        <v>16</v>
      </c>
      <c r="B146" t="s">
        <v>470</v>
      </c>
    </row>
    <row r="147" spans="1:9" x14ac:dyDescent="0.3">
      <c r="A147" t="s">
        <v>477</v>
      </c>
    </row>
    <row r="148" spans="1:9" x14ac:dyDescent="0.3">
      <c r="A148">
        <v>17</v>
      </c>
      <c r="B148" t="s">
        <v>149</v>
      </c>
      <c r="C148" t="s">
        <v>304</v>
      </c>
      <c r="D148" t="s">
        <v>354</v>
      </c>
      <c r="E148" t="s">
        <v>142</v>
      </c>
      <c r="F148" t="s">
        <v>401</v>
      </c>
      <c r="G148" s="26">
        <v>26582</v>
      </c>
      <c r="H148" t="s">
        <v>148</v>
      </c>
      <c r="I148" t="s">
        <v>189</v>
      </c>
    </row>
    <row r="149" spans="1:9" x14ac:dyDescent="0.3">
      <c r="A149">
        <v>17</v>
      </c>
      <c r="B149" t="s">
        <v>149</v>
      </c>
      <c r="C149" t="s">
        <v>304</v>
      </c>
      <c r="D149" t="s">
        <v>354</v>
      </c>
      <c r="E149" t="s">
        <v>142</v>
      </c>
      <c r="F149" t="s">
        <v>401</v>
      </c>
      <c r="G149" s="26">
        <v>26582</v>
      </c>
      <c r="H149" t="s">
        <v>613</v>
      </c>
    </row>
    <row r="150" spans="1:9" x14ac:dyDescent="0.3">
      <c r="A150">
        <v>17</v>
      </c>
      <c r="B150" t="s">
        <v>149</v>
      </c>
      <c r="C150" t="s">
        <v>304</v>
      </c>
      <c r="D150" t="s">
        <v>354</v>
      </c>
      <c r="E150" t="s">
        <v>142</v>
      </c>
      <c r="F150" t="s">
        <v>401</v>
      </c>
      <c r="G150" s="26" t="s">
        <v>619</v>
      </c>
    </row>
    <row r="151" spans="1:9" x14ac:dyDescent="0.3">
      <c r="A151">
        <v>17</v>
      </c>
      <c r="B151" t="s">
        <v>149</v>
      </c>
      <c r="C151" t="s">
        <v>304</v>
      </c>
      <c r="D151" t="s">
        <v>354</v>
      </c>
      <c r="E151" t="s">
        <v>142</v>
      </c>
      <c r="F151" t="s">
        <v>620</v>
      </c>
    </row>
    <row r="152" spans="1:9" x14ac:dyDescent="0.3">
      <c r="A152">
        <v>17</v>
      </c>
      <c r="B152" t="s">
        <v>149</v>
      </c>
      <c r="C152" t="s">
        <v>304</v>
      </c>
      <c r="D152" t="s">
        <v>354</v>
      </c>
      <c r="E152" t="s">
        <v>432</v>
      </c>
    </row>
    <row r="153" spans="1:9" x14ac:dyDescent="0.3">
      <c r="A153">
        <v>17</v>
      </c>
      <c r="B153" t="s">
        <v>149</v>
      </c>
      <c r="C153" t="s">
        <v>304</v>
      </c>
      <c r="D153" t="s">
        <v>478</v>
      </c>
    </row>
    <row r="154" spans="1:9" x14ac:dyDescent="0.3">
      <c r="A154">
        <v>17</v>
      </c>
      <c r="B154" t="s">
        <v>149</v>
      </c>
      <c r="C154" t="s">
        <v>479</v>
      </c>
    </row>
    <row r="155" spans="1:9" x14ac:dyDescent="0.3">
      <c r="A155">
        <v>17</v>
      </c>
      <c r="B155" t="s">
        <v>470</v>
      </c>
    </row>
    <row r="156" spans="1:9" x14ac:dyDescent="0.3">
      <c r="A156" t="s">
        <v>480</v>
      </c>
    </row>
    <row r="157" spans="1:9" x14ac:dyDescent="0.3">
      <c r="A157">
        <v>18</v>
      </c>
      <c r="B157" t="s">
        <v>149</v>
      </c>
      <c r="C157" t="s">
        <v>305</v>
      </c>
      <c r="D157" t="s">
        <v>355</v>
      </c>
      <c r="E157" t="s">
        <v>142</v>
      </c>
      <c r="F157" t="s">
        <v>399</v>
      </c>
      <c r="G157" s="26">
        <v>21793</v>
      </c>
      <c r="H157" t="s">
        <v>148</v>
      </c>
      <c r="I157" t="s">
        <v>190</v>
      </c>
    </row>
    <row r="158" spans="1:9" x14ac:dyDescent="0.3">
      <c r="A158">
        <v>18</v>
      </c>
      <c r="B158" t="s">
        <v>149</v>
      </c>
      <c r="C158" t="s">
        <v>305</v>
      </c>
      <c r="D158" t="s">
        <v>355</v>
      </c>
      <c r="E158" t="s">
        <v>142</v>
      </c>
      <c r="F158" t="s">
        <v>399</v>
      </c>
      <c r="G158" s="26">
        <v>21793</v>
      </c>
      <c r="H158" t="s">
        <v>613</v>
      </c>
    </row>
    <row r="159" spans="1:9" x14ac:dyDescent="0.3">
      <c r="A159">
        <v>18</v>
      </c>
      <c r="B159" t="s">
        <v>149</v>
      </c>
      <c r="C159" t="s">
        <v>305</v>
      </c>
      <c r="D159" t="s">
        <v>355</v>
      </c>
      <c r="E159" t="s">
        <v>142</v>
      </c>
      <c r="F159" t="s">
        <v>399</v>
      </c>
      <c r="G159" s="26" t="s">
        <v>621</v>
      </c>
    </row>
    <row r="160" spans="1:9" x14ac:dyDescent="0.3">
      <c r="A160">
        <v>18</v>
      </c>
      <c r="B160" t="s">
        <v>149</v>
      </c>
      <c r="C160" t="s">
        <v>305</v>
      </c>
      <c r="D160" t="s">
        <v>355</v>
      </c>
      <c r="E160" t="s">
        <v>142</v>
      </c>
      <c r="F160" t="s">
        <v>615</v>
      </c>
    </row>
    <row r="161" spans="1:9" x14ac:dyDescent="0.3">
      <c r="A161">
        <v>18</v>
      </c>
      <c r="B161" t="s">
        <v>149</v>
      </c>
      <c r="C161" t="s">
        <v>305</v>
      </c>
      <c r="D161" t="s">
        <v>355</v>
      </c>
      <c r="E161" t="s">
        <v>432</v>
      </c>
    </row>
    <row r="162" spans="1:9" x14ac:dyDescent="0.3">
      <c r="A162">
        <v>18</v>
      </c>
      <c r="B162" t="s">
        <v>149</v>
      </c>
      <c r="C162" t="s">
        <v>305</v>
      </c>
      <c r="D162" t="s">
        <v>481</v>
      </c>
    </row>
    <row r="163" spans="1:9" x14ac:dyDescent="0.3">
      <c r="A163">
        <v>18</v>
      </c>
      <c r="B163" t="s">
        <v>149</v>
      </c>
      <c r="C163" t="s">
        <v>482</v>
      </c>
    </row>
    <row r="164" spans="1:9" x14ac:dyDescent="0.3">
      <c r="A164">
        <v>18</v>
      </c>
      <c r="B164" t="s">
        <v>470</v>
      </c>
    </row>
    <row r="165" spans="1:9" x14ac:dyDescent="0.3">
      <c r="A165" t="s">
        <v>483</v>
      </c>
    </row>
    <row r="166" spans="1:9" x14ac:dyDescent="0.3">
      <c r="A166">
        <v>19</v>
      </c>
      <c r="B166" t="s">
        <v>151</v>
      </c>
      <c r="C166" t="s">
        <v>306</v>
      </c>
      <c r="D166" t="s">
        <v>356</v>
      </c>
      <c r="E166" t="s">
        <v>138</v>
      </c>
      <c r="F166" t="s">
        <v>398</v>
      </c>
      <c r="G166" s="26">
        <v>28262</v>
      </c>
      <c r="H166" t="s">
        <v>139</v>
      </c>
      <c r="I166" t="s">
        <v>191</v>
      </c>
    </row>
    <row r="167" spans="1:9" x14ac:dyDescent="0.3">
      <c r="A167">
        <v>19</v>
      </c>
      <c r="B167" t="s">
        <v>151</v>
      </c>
      <c r="C167" t="s">
        <v>306</v>
      </c>
      <c r="D167" t="s">
        <v>356</v>
      </c>
      <c r="E167" t="s">
        <v>138</v>
      </c>
      <c r="F167" t="s">
        <v>398</v>
      </c>
      <c r="G167" s="26">
        <v>28262</v>
      </c>
      <c r="H167" t="s">
        <v>587</v>
      </c>
    </row>
    <row r="168" spans="1:9" x14ac:dyDescent="0.3">
      <c r="A168">
        <v>19</v>
      </c>
      <c r="B168" t="s">
        <v>151</v>
      </c>
      <c r="C168" t="s">
        <v>306</v>
      </c>
      <c r="D168" t="s">
        <v>356</v>
      </c>
      <c r="E168" t="s">
        <v>138</v>
      </c>
      <c r="F168" t="s">
        <v>398</v>
      </c>
      <c r="G168" s="26" t="s">
        <v>622</v>
      </c>
    </row>
    <row r="169" spans="1:9" x14ac:dyDescent="0.3">
      <c r="A169">
        <v>19</v>
      </c>
      <c r="B169" t="s">
        <v>151</v>
      </c>
      <c r="C169" t="s">
        <v>306</v>
      </c>
      <c r="D169" t="s">
        <v>356</v>
      </c>
      <c r="E169" t="s">
        <v>138</v>
      </c>
      <c r="F169" t="s">
        <v>611</v>
      </c>
    </row>
    <row r="170" spans="1:9" x14ac:dyDescent="0.3">
      <c r="A170">
        <v>19</v>
      </c>
      <c r="B170" t="s">
        <v>151</v>
      </c>
      <c r="C170" t="s">
        <v>306</v>
      </c>
      <c r="D170" t="s">
        <v>356</v>
      </c>
      <c r="E170" t="s">
        <v>424</v>
      </c>
    </row>
    <row r="171" spans="1:9" x14ac:dyDescent="0.3">
      <c r="A171">
        <v>19</v>
      </c>
      <c r="B171" t="s">
        <v>151</v>
      </c>
      <c r="C171" t="s">
        <v>306</v>
      </c>
      <c r="D171" t="s">
        <v>484</v>
      </c>
    </row>
    <row r="172" spans="1:9" x14ac:dyDescent="0.3">
      <c r="A172">
        <v>19</v>
      </c>
      <c r="B172" t="s">
        <v>151</v>
      </c>
      <c r="C172" t="s">
        <v>485</v>
      </c>
    </row>
    <row r="173" spans="1:9" x14ac:dyDescent="0.3">
      <c r="A173">
        <v>19</v>
      </c>
      <c r="B173" t="s">
        <v>486</v>
      </c>
    </row>
    <row r="174" spans="1:9" x14ac:dyDescent="0.3">
      <c r="A174" t="s">
        <v>487</v>
      </c>
    </row>
    <row r="175" spans="1:9" x14ac:dyDescent="0.3">
      <c r="A175">
        <v>20</v>
      </c>
      <c r="B175" t="s">
        <v>151</v>
      </c>
      <c r="C175" t="s">
        <v>307</v>
      </c>
      <c r="D175" t="s">
        <v>357</v>
      </c>
      <c r="E175" t="s">
        <v>142</v>
      </c>
      <c r="F175" t="s">
        <v>402</v>
      </c>
      <c r="G175" s="26">
        <v>27767</v>
      </c>
      <c r="H175" t="s">
        <v>139</v>
      </c>
      <c r="I175" t="s">
        <v>192</v>
      </c>
    </row>
    <row r="176" spans="1:9" x14ac:dyDescent="0.3">
      <c r="A176">
        <v>20</v>
      </c>
      <c r="B176" t="s">
        <v>151</v>
      </c>
      <c r="C176" t="s">
        <v>307</v>
      </c>
      <c r="D176" t="s">
        <v>357</v>
      </c>
      <c r="E176" t="s">
        <v>142</v>
      </c>
      <c r="F176" t="s">
        <v>402</v>
      </c>
      <c r="G176" s="26">
        <v>27767</v>
      </c>
      <c r="H176" t="s">
        <v>587</v>
      </c>
    </row>
    <row r="177" spans="1:9" x14ac:dyDescent="0.3">
      <c r="A177">
        <v>20</v>
      </c>
      <c r="B177" t="s">
        <v>151</v>
      </c>
      <c r="C177" t="s">
        <v>307</v>
      </c>
      <c r="D177" t="s">
        <v>357</v>
      </c>
      <c r="E177" t="s">
        <v>142</v>
      </c>
      <c r="F177" t="s">
        <v>402</v>
      </c>
      <c r="G177" s="26" t="s">
        <v>623</v>
      </c>
    </row>
    <row r="178" spans="1:9" x14ac:dyDescent="0.3">
      <c r="A178">
        <v>20</v>
      </c>
      <c r="B178" t="s">
        <v>151</v>
      </c>
      <c r="C178" t="s">
        <v>307</v>
      </c>
      <c r="D178" t="s">
        <v>357</v>
      </c>
      <c r="E178" t="s">
        <v>142</v>
      </c>
      <c r="F178" t="s">
        <v>624</v>
      </c>
    </row>
    <row r="179" spans="1:9" x14ac:dyDescent="0.3">
      <c r="A179">
        <v>20</v>
      </c>
      <c r="B179" t="s">
        <v>151</v>
      </c>
      <c r="C179" t="s">
        <v>307</v>
      </c>
      <c r="D179" t="s">
        <v>357</v>
      </c>
      <c r="E179" t="s">
        <v>432</v>
      </c>
    </row>
    <row r="180" spans="1:9" x14ac:dyDescent="0.3">
      <c r="A180">
        <v>20</v>
      </c>
      <c r="B180" t="s">
        <v>151</v>
      </c>
      <c r="C180" t="s">
        <v>307</v>
      </c>
      <c r="D180" t="s">
        <v>488</v>
      </c>
    </row>
    <row r="181" spans="1:9" x14ac:dyDescent="0.3">
      <c r="A181">
        <v>20</v>
      </c>
      <c r="B181" t="s">
        <v>151</v>
      </c>
      <c r="C181" t="s">
        <v>489</v>
      </c>
    </row>
    <row r="182" spans="1:9" x14ac:dyDescent="0.3">
      <c r="A182">
        <v>20</v>
      </c>
      <c r="B182" t="s">
        <v>486</v>
      </c>
    </row>
    <row r="183" spans="1:9" x14ac:dyDescent="0.3">
      <c r="A183" t="s">
        <v>490</v>
      </c>
    </row>
    <row r="184" spans="1:9" x14ac:dyDescent="0.3">
      <c r="A184">
        <v>21</v>
      </c>
      <c r="B184" t="s">
        <v>151</v>
      </c>
      <c r="C184" t="s">
        <v>308</v>
      </c>
      <c r="D184" t="s">
        <v>358</v>
      </c>
      <c r="E184" t="s">
        <v>142</v>
      </c>
      <c r="F184" t="s">
        <v>403</v>
      </c>
      <c r="G184" s="26">
        <v>35268</v>
      </c>
      <c r="H184" t="s">
        <v>139</v>
      </c>
      <c r="I184" t="s">
        <v>193</v>
      </c>
    </row>
    <row r="185" spans="1:9" x14ac:dyDescent="0.3">
      <c r="A185">
        <v>21</v>
      </c>
      <c r="B185" t="s">
        <v>151</v>
      </c>
      <c r="C185" t="s">
        <v>308</v>
      </c>
      <c r="D185" t="s">
        <v>358</v>
      </c>
      <c r="E185" t="s">
        <v>142</v>
      </c>
      <c r="F185" t="s">
        <v>403</v>
      </c>
      <c r="G185" s="26">
        <v>35268</v>
      </c>
      <c r="H185" t="s">
        <v>587</v>
      </c>
    </row>
    <row r="186" spans="1:9" x14ac:dyDescent="0.3">
      <c r="A186">
        <v>21</v>
      </c>
      <c r="B186" t="s">
        <v>151</v>
      </c>
      <c r="C186" t="s">
        <v>308</v>
      </c>
      <c r="D186" t="s">
        <v>358</v>
      </c>
      <c r="E186" t="s">
        <v>142</v>
      </c>
      <c r="F186" t="s">
        <v>403</v>
      </c>
      <c r="G186" s="26" t="s">
        <v>625</v>
      </c>
    </row>
    <row r="187" spans="1:9" x14ac:dyDescent="0.3">
      <c r="A187">
        <v>21</v>
      </c>
      <c r="B187" t="s">
        <v>151</v>
      </c>
      <c r="C187" t="s">
        <v>308</v>
      </c>
      <c r="D187" t="s">
        <v>358</v>
      </c>
      <c r="E187" t="s">
        <v>142</v>
      </c>
      <c r="F187" t="s">
        <v>626</v>
      </c>
    </row>
    <row r="188" spans="1:9" x14ac:dyDescent="0.3">
      <c r="A188">
        <v>21</v>
      </c>
      <c r="B188" t="s">
        <v>151</v>
      </c>
      <c r="C188" t="s">
        <v>308</v>
      </c>
      <c r="D188" t="s">
        <v>358</v>
      </c>
      <c r="E188" t="s">
        <v>432</v>
      </c>
    </row>
    <row r="189" spans="1:9" x14ac:dyDescent="0.3">
      <c r="A189">
        <v>21</v>
      </c>
      <c r="B189" t="s">
        <v>151</v>
      </c>
      <c r="C189" t="s">
        <v>308</v>
      </c>
      <c r="D189" t="s">
        <v>491</v>
      </c>
    </row>
    <row r="190" spans="1:9" x14ac:dyDescent="0.3">
      <c r="A190">
        <v>21</v>
      </c>
      <c r="B190" t="s">
        <v>151</v>
      </c>
      <c r="C190" t="s">
        <v>492</v>
      </c>
    </row>
    <row r="191" spans="1:9" x14ac:dyDescent="0.3">
      <c r="A191">
        <v>21</v>
      </c>
      <c r="B191" t="s">
        <v>486</v>
      </c>
    </row>
    <row r="192" spans="1:9" x14ac:dyDescent="0.3">
      <c r="A192" t="s">
        <v>493</v>
      </c>
    </row>
    <row r="193" spans="1:9" x14ac:dyDescent="0.3">
      <c r="A193">
        <v>22</v>
      </c>
      <c r="B193" t="s">
        <v>151</v>
      </c>
      <c r="C193" t="s">
        <v>309</v>
      </c>
      <c r="D193" t="s">
        <v>359</v>
      </c>
      <c r="E193" t="s">
        <v>138</v>
      </c>
      <c r="F193" t="s">
        <v>396</v>
      </c>
      <c r="G193" s="26">
        <v>23483</v>
      </c>
      <c r="H193" t="s">
        <v>139</v>
      </c>
      <c r="I193" t="s">
        <v>194</v>
      </c>
    </row>
    <row r="194" spans="1:9" x14ac:dyDescent="0.3">
      <c r="A194">
        <v>22</v>
      </c>
      <c r="B194" t="s">
        <v>151</v>
      </c>
      <c r="C194" t="s">
        <v>309</v>
      </c>
      <c r="D194" t="s">
        <v>359</v>
      </c>
      <c r="E194" t="s">
        <v>138</v>
      </c>
      <c r="F194" t="s">
        <v>396</v>
      </c>
      <c r="G194" s="26">
        <v>23483</v>
      </c>
      <c r="H194" t="s">
        <v>587</v>
      </c>
    </row>
    <row r="195" spans="1:9" x14ac:dyDescent="0.3">
      <c r="A195">
        <v>22</v>
      </c>
      <c r="B195" t="s">
        <v>151</v>
      </c>
      <c r="C195" t="s">
        <v>309</v>
      </c>
      <c r="D195" t="s">
        <v>359</v>
      </c>
      <c r="E195" t="s">
        <v>138</v>
      </c>
      <c r="F195" t="s">
        <v>396</v>
      </c>
      <c r="G195" s="26" t="s">
        <v>627</v>
      </c>
    </row>
    <row r="196" spans="1:9" x14ac:dyDescent="0.3">
      <c r="A196">
        <v>22</v>
      </c>
      <c r="B196" t="s">
        <v>151</v>
      </c>
      <c r="C196" t="s">
        <v>309</v>
      </c>
      <c r="D196" t="s">
        <v>359</v>
      </c>
      <c r="E196" t="s">
        <v>138</v>
      </c>
      <c r="F196" t="s">
        <v>607</v>
      </c>
    </row>
    <row r="197" spans="1:9" x14ac:dyDescent="0.3">
      <c r="A197">
        <v>22</v>
      </c>
      <c r="B197" t="s">
        <v>151</v>
      </c>
      <c r="C197" t="s">
        <v>309</v>
      </c>
      <c r="D197" t="s">
        <v>359</v>
      </c>
      <c r="E197" t="s">
        <v>424</v>
      </c>
    </row>
    <row r="198" spans="1:9" x14ac:dyDescent="0.3">
      <c r="A198">
        <v>22</v>
      </c>
      <c r="B198" t="s">
        <v>151</v>
      </c>
      <c r="C198" t="s">
        <v>309</v>
      </c>
      <c r="D198" t="s">
        <v>494</v>
      </c>
    </row>
    <row r="199" spans="1:9" x14ac:dyDescent="0.3">
      <c r="A199">
        <v>22</v>
      </c>
      <c r="B199" t="s">
        <v>151</v>
      </c>
      <c r="C199" t="s">
        <v>495</v>
      </c>
    </row>
    <row r="200" spans="1:9" x14ac:dyDescent="0.3">
      <c r="A200">
        <v>22</v>
      </c>
      <c r="B200" t="s">
        <v>486</v>
      </c>
    </row>
    <row r="201" spans="1:9" x14ac:dyDescent="0.3">
      <c r="A201" t="s">
        <v>496</v>
      </c>
    </row>
    <row r="202" spans="1:9" x14ac:dyDescent="0.3">
      <c r="A202">
        <v>23</v>
      </c>
      <c r="B202" t="s">
        <v>151</v>
      </c>
      <c r="C202" t="s">
        <v>310</v>
      </c>
      <c r="D202" t="s">
        <v>360</v>
      </c>
      <c r="E202" t="s">
        <v>138</v>
      </c>
      <c r="F202" t="s">
        <v>404</v>
      </c>
      <c r="G202" s="26">
        <v>20437</v>
      </c>
      <c r="H202" t="s">
        <v>139</v>
      </c>
      <c r="I202" t="s">
        <v>195</v>
      </c>
    </row>
    <row r="203" spans="1:9" x14ac:dyDescent="0.3">
      <c r="A203">
        <v>23</v>
      </c>
      <c r="B203" t="s">
        <v>151</v>
      </c>
      <c r="C203" t="s">
        <v>310</v>
      </c>
      <c r="D203" t="s">
        <v>360</v>
      </c>
      <c r="E203" t="s">
        <v>138</v>
      </c>
      <c r="F203" t="s">
        <v>404</v>
      </c>
      <c r="G203" s="26">
        <v>20437</v>
      </c>
      <c r="H203" t="s">
        <v>587</v>
      </c>
    </row>
    <row r="204" spans="1:9" x14ac:dyDescent="0.3">
      <c r="A204">
        <v>23</v>
      </c>
      <c r="B204" t="s">
        <v>151</v>
      </c>
      <c r="C204" t="s">
        <v>310</v>
      </c>
      <c r="D204" t="s">
        <v>360</v>
      </c>
      <c r="E204" t="s">
        <v>138</v>
      </c>
      <c r="F204" t="s">
        <v>404</v>
      </c>
      <c r="G204" s="26" t="s">
        <v>628</v>
      </c>
    </row>
    <row r="205" spans="1:9" x14ac:dyDescent="0.3">
      <c r="A205">
        <v>23</v>
      </c>
      <c r="B205" t="s">
        <v>151</v>
      </c>
      <c r="C205" t="s">
        <v>310</v>
      </c>
      <c r="D205" t="s">
        <v>360</v>
      </c>
      <c r="E205" t="s">
        <v>138</v>
      </c>
      <c r="F205" t="s">
        <v>629</v>
      </c>
    </row>
    <row r="206" spans="1:9" x14ac:dyDescent="0.3">
      <c r="A206">
        <v>23</v>
      </c>
      <c r="B206" t="s">
        <v>151</v>
      </c>
      <c r="C206" t="s">
        <v>310</v>
      </c>
      <c r="D206" t="s">
        <v>360</v>
      </c>
      <c r="E206" t="s">
        <v>424</v>
      </c>
    </row>
    <row r="207" spans="1:9" x14ac:dyDescent="0.3">
      <c r="A207">
        <v>23</v>
      </c>
      <c r="B207" t="s">
        <v>151</v>
      </c>
      <c r="C207" t="s">
        <v>310</v>
      </c>
      <c r="D207" t="s">
        <v>497</v>
      </c>
    </row>
    <row r="208" spans="1:9" x14ac:dyDescent="0.3">
      <c r="A208">
        <v>23</v>
      </c>
      <c r="B208" t="s">
        <v>151</v>
      </c>
      <c r="C208" t="s">
        <v>498</v>
      </c>
    </row>
    <row r="209" spans="1:9" x14ac:dyDescent="0.3">
      <c r="A209">
        <v>23</v>
      </c>
      <c r="B209" t="s">
        <v>486</v>
      </c>
    </row>
    <row r="210" spans="1:9" x14ac:dyDescent="0.3">
      <c r="A210" t="s">
        <v>499</v>
      </c>
    </row>
    <row r="211" spans="1:9" x14ac:dyDescent="0.3">
      <c r="A211">
        <v>24</v>
      </c>
      <c r="B211" t="s">
        <v>151</v>
      </c>
      <c r="C211" t="s">
        <v>311</v>
      </c>
      <c r="D211" t="s">
        <v>361</v>
      </c>
      <c r="E211" t="s">
        <v>138</v>
      </c>
      <c r="F211" t="s">
        <v>393</v>
      </c>
      <c r="G211" s="26">
        <v>36400</v>
      </c>
      <c r="H211" t="s">
        <v>139</v>
      </c>
      <c r="I211" t="s">
        <v>196</v>
      </c>
    </row>
    <row r="212" spans="1:9" x14ac:dyDescent="0.3">
      <c r="A212">
        <v>24</v>
      </c>
      <c r="B212" t="s">
        <v>151</v>
      </c>
      <c r="C212" t="s">
        <v>311</v>
      </c>
      <c r="D212" t="s">
        <v>361</v>
      </c>
      <c r="E212" t="s">
        <v>138</v>
      </c>
      <c r="F212" t="s">
        <v>393</v>
      </c>
      <c r="G212" s="26">
        <v>36400</v>
      </c>
      <c r="H212" t="s">
        <v>587</v>
      </c>
    </row>
    <row r="213" spans="1:9" x14ac:dyDescent="0.3">
      <c r="A213">
        <v>24</v>
      </c>
      <c r="B213" t="s">
        <v>151</v>
      </c>
      <c r="C213" t="s">
        <v>311</v>
      </c>
      <c r="D213" t="s">
        <v>361</v>
      </c>
      <c r="E213" t="s">
        <v>138</v>
      </c>
      <c r="F213" t="s">
        <v>393</v>
      </c>
      <c r="G213" s="26" t="s">
        <v>630</v>
      </c>
    </row>
    <row r="214" spans="1:9" x14ac:dyDescent="0.3">
      <c r="A214">
        <v>24</v>
      </c>
      <c r="B214" t="s">
        <v>151</v>
      </c>
      <c r="C214" t="s">
        <v>311</v>
      </c>
      <c r="D214" t="s">
        <v>361</v>
      </c>
      <c r="E214" t="s">
        <v>138</v>
      </c>
      <c r="F214" t="s">
        <v>601</v>
      </c>
    </row>
    <row r="215" spans="1:9" x14ac:dyDescent="0.3">
      <c r="A215">
        <v>24</v>
      </c>
      <c r="B215" t="s">
        <v>151</v>
      </c>
      <c r="C215" t="s">
        <v>311</v>
      </c>
      <c r="D215" t="s">
        <v>361</v>
      </c>
      <c r="E215" t="s">
        <v>424</v>
      </c>
    </row>
    <row r="216" spans="1:9" x14ac:dyDescent="0.3">
      <c r="A216">
        <v>24</v>
      </c>
      <c r="B216" t="s">
        <v>151</v>
      </c>
      <c r="C216" t="s">
        <v>311</v>
      </c>
      <c r="D216" t="s">
        <v>500</v>
      </c>
    </row>
    <row r="217" spans="1:9" x14ac:dyDescent="0.3">
      <c r="A217">
        <v>24</v>
      </c>
      <c r="B217" t="s">
        <v>151</v>
      </c>
      <c r="C217" t="s">
        <v>501</v>
      </c>
    </row>
    <row r="218" spans="1:9" x14ac:dyDescent="0.3">
      <c r="A218">
        <v>24</v>
      </c>
      <c r="B218" t="s">
        <v>486</v>
      </c>
    </row>
    <row r="219" spans="1:9" x14ac:dyDescent="0.3">
      <c r="A219" t="s">
        <v>502</v>
      </c>
    </row>
    <row r="220" spans="1:9" x14ac:dyDescent="0.3">
      <c r="A220">
        <v>25</v>
      </c>
      <c r="B220" t="s">
        <v>151</v>
      </c>
      <c r="C220" t="s">
        <v>312</v>
      </c>
      <c r="D220" t="s">
        <v>362</v>
      </c>
      <c r="E220" t="s">
        <v>138</v>
      </c>
      <c r="F220" t="s">
        <v>405</v>
      </c>
      <c r="G220" s="26">
        <v>24309</v>
      </c>
      <c r="H220" t="s">
        <v>139</v>
      </c>
      <c r="I220" t="s">
        <v>181</v>
      </c>
    </row>
    <row r="221" spans="1:9" x14ac:dyDescent="0.3">
      <c r="A221">
        <v>25</v>
      </c>
      <c r="B221" t="s">
        <v>151</v>
      </c>
      <c r="C221" t="s">
        <v>312</v>
      </c>
      <c r="D221" t="s">
        <v>362</v>
      </c>
      <c r="E221" t="s">
        <v>138</v>
      </c>
      <c r="F221" t="s">
        <v>405</v>
      </c>
      <c r="G221" s="26">
        <v>24309</v>
      </c>
      <c r="H221" t="s">
        <v>587</v>
      </c>
    </row>
    <row r="222" spans="1:9" x14ac:dyDescent="0.3">
      <c r="A222">
        <v>25</v>
      </c>
      <c r="B222" t="s">
        <v>151</v>
      </c>
      <c r="C222" t="s">
        <v>312</v>
      </c>
      <c r="D222" t="s">
        <v>362</v>
      </c>
      <c r="E222" t="s">
        <v>138</v>
      </c>
      <c r="F222" t="s">
        <v>405</v>
      </c>
      <c r="G222" s="26" t="s">
        <v>631</v>
      </c>
    </row>
    <row r="223" spans="1:9" x14ac:dyDescent="0.3">
      <c r="A223">
        <v>25</v>
      </c>
      <c r="B223" t="s">
        <v>151</v>
      </c>
      <c r="C223" t="s">
        <v>312</v>
      </c>
      <c r="D223" t="s">
        <v>362</v>
      </c>
      <c r="E223" t="s">
        <v>138</v>
      </c>
      <c r="F223" t="s">
        <v>632</v>
      </c>
    </row>
    <row r="224" spans="1:9" x14ac:dyDescent="0.3">
      <c r="A224">
        <v>25</v>
      </c>
      <c r="B224" t="s">
        <v>151</v>
      </c>
      <c r="C224" t="s">
        <v>312</v>
      </c>
      <c r="D224" t="s">
        <v>362</v>
      </c>
      <c r="E224" t="s">
        <v>424</v>
      </c>
    </row>
    <row r="225" spans="1:9" x14ac:dyDescent="0.3">
      <c r="A225">
        <v>25</v>
      </c>
      <c r="B225" t="s">
        <v>151</v>
      </c>
      <c r="C225" t="s">
        <v>312</v>
      </c>
      <c r="D225" t="s">
        <v>503</v>
      </c>
    </row>
    <row r="226" spans="1:9" x14ac:dyDescent="0.3">
      <c r="A226">
        <v>25</v>
      </c>
      <c r="B226" t="s">
        <v>151</v>
      </c>
      <c r="C226" t="s">
        <v>504</v>
      </c>
    </row>
    <row r="227" spans="1:9" x14ac:dyDescent="0.3">
      <c r="A227">
        <v>25</v>
      </c>
      <c r="B227" t="s">
        <v>486</v>
      </c>
    </row>
    <row r="228" spans="1:9" x14ac:dyDescent="0.3">
      <c r="A228" t="s">
        <v>505</v>
      </c>
    </row>
    <row r="229" spans="1:9" x14ac:dyDescent="0.3">
      <c r="A229">
        <v>26</v>
      </c>
      <c r="B229" t="s">
        <v>151</v>
      </c>
      <c r="C229" t="s">
        <v>313</v>
      </c>
      <c r="D229" t="s">
        <v>363</v>
      </c>
      <c r="E229" t="s">
        <v>138</v>
      </c>
      <c r="F229" t="s">
        <v>406</v>
      </c>
      <c r="G229" s="26">
        <v>28570</v>
      </c>
      <c r="H229" t="s">
        <v>139</v>
      </c>
      <c r="I229" t="s">
        <v>174</v>
      </c>
    </row>
    <row r="230" spans="1:9" x14ac:dyDescent="0.3">
      <c r="A230">
        <v>26</v>
      </c>
      <c r="B230" t="s">
        <v>151</v>
      </c>
      <c r="C230" t="s">
        <v>313</v>
      </c>
      <c r="D230" t="s">
        <v>363</v>
      </c>
      <c r="E230" t="s">
        <v>138</v>
      </c>
      <c r="F230" t="s">
        <v>406</v>
      </c>
      <c r="G230" s="26">
        <v>28570</v>
      </c>
      <c r="H230" t="s">
        <v>587</v>
      </c>
    </row>
    <row r="231" spans="1:9" x14ac:dyDescent="0.3">
      <c r="A231">
        <v>26</v>
      </c>
      <c r="B231" t="s">
        <v>151</v>
      </c>
      <c r="C231" t="s">
        <v>313</v>
      </c>
      <c r="D231" t="s">
        <v>363</v>
      </c>
      <c r="E231" t="s">
        <v>138</v>
      </c>
      <c r="F231" t="s">
        <v>406</v>
      </c>
      <c r="G231" s="26" t="s">
        <v>633</v>
      </c>
    </row>
    <row r="232" spans="1:9" x14ac:dyDescent="0.3">
      <c r="A232">
        <v>26</v>
      </c>
      <c r="B232" t="s">
        <v>151</v>
      </c>
      <c r="C232" t="s">
        <v>313</v>
      </c>
      <c r="D232" t="s">
        <v>363</v>
      </c>
      <c r="E232" t="s">
        <v>138</v>
      </c>
      <c r="F232" t="s">
        <v>634</v>
      </c>
    </row>
    <row r="233" spans="1:9" x14ac:dyDescent="0.3">
      <c r="A233">
        <v>26</v>
      </c>
      <c r="B233" t="s">
        <v>151</v>
      </c>
      <c r="C233" t="s">
        <v>313</v>
      </c>
      <c r="D233" t="s">
        <v>363</v>
      </c>
      <c r="E233" t="s">
        <v>424</v>
      </c>
    </row>
    <row r="234" spans="1:9" x14ac:dyDescent="0.3">
      <c r="A234">
        <v>26</v>
      </c>
      <c r="B234" t="s">
        <v>151</v>
      </c>
      <c r="C234" t="s">
        <v>313</v>
      </c>
      <c r="D234" t="s">
        <v>506</v>
      </c>
    </row>
    <row r="235" spans="1:9" x14ac:dyDescent="0.3">
      <c r="A235">
        <v>26</v>
      </c>
      <c r="B235" t="s">
        <v>151</v>
      </c>
      <c r="C235" t="s">
        <v>507</v>
      </c>
    </row>
    <row r="236" spans="1:9" x14ac:dyDescent="0.3">
      <c r="A236">
        <v>26</v>
      </c>
      <c r="B236" t="s">
        <v>486</v>
      </c>
    </row>
    <row r="237" spans="1:9" x14ac:dyDescent="0.3">
      <c r="A237" t="s">
        <v>508</v>
      </c>
    </row>
    <row r="238" spans="1:9" x14ac:dyDescent="0.3">
      <c r="A238">
        <v>27</v>
      </c>
      <c r="B238" t="s">
        <v>153</v>
      </c>
      <c r="C238" t="s">
        <v>314</v>
      </c>
      <c r="D238" t="s">
        <v>364</v>
      </c>
      <c r="E238" t="s">
        <v>142</v>
      </c>
      <c r="F238" t="s">
        <v>392</v>
      </c>
      <c r="G238" s="26">
        <v>25767</v>
      </c>
      <c r="H238" t="s">
        <v>148</v>
      </c>
      <c r="I238" t="s">
        <v>197</v>
      </c>
    </row>
    <row r="239" spans="1:9" x14ac:dyDescent="0.3">
      <c r="A239">
        <v>27</v>
      </c>
      <c r="B239" t="s">
        <v>153</v>
      </c>
      <c r="C239" t="s">
        <v>314</v>
      </c>
      <c r="D239" t="s">
        <v>364</v>
      </c>
      <c r="E239" t="s">
        <v>142</v>
      </c>
      <c r="F239" t="s">
        <v>392</v>
      </c>
      <c r="G239" s="26">
        <v>25767</v>
      </c>
      <c r="H239" t="s">
        <v>613</v>
      </c>
    </row>
    <row r="240" spans="1:9" x14ac:dyDescent="0.3">
      <c r="A240">
        <v>27</v>
      </c>
      <c r="B240" t="s">
        <v>153</v>
      </c>
      <c r="C240" t="s">
        <v>314</v>
      </c>
      <c r="D240" t="s">
        <v>364</v>
      </c>
      <c r="E240" t="s">
        <v>142</v>
      </c>
      <c r="F240" t="s">
        <v>392</v>
      </c>
      <c r="G240" s="26" t="s">
        <v>635</v>
      </c>
    </row>
    <row r="241" spans="1:9" x14ac:dyDescent="0.3">
      <c r="A241">
        <v>27</v>
      </c>
      <c r="B241" t="s">
        <v>153</v>
      </c>
      <c r="C241" t="s">
        <v>314</v>
      </c>
      <c r="D241" t="s">
        <v>364</v>
      </c>
      <c r="E241" t="s">
        <v>142</v>
      </c>
      <c r="F241" t="s">
        <v>598</v>
      </c>
    </row>
    <row r="242" spans="1:9" x14ac:dyDescent="0.3">
      <c r="A242">
        <v>27</v>
      </c>
      <c r="B242" t="s">
        <v>153</v>
      </c>
      <c r="C242" t="s">
        <v>314</v>
      </c>
      <c r="D242" t="s">
        <v>364</v>
      </c>
      <c r="E242" t="s">
        <v>432</v>
      </c>
    </row>
    <row r="243" spans="1:9" x14ac:dyDescent="0.3">
      <c r="A243">
        <v>27</v>
      </c>
      <c r="B243" t="s">
        <v>153</v>
      </c>
      <c r="C243" t="s">
        <v>314</v>
      </c>
      <c r="D243" t="s">
        <v>509</v>
      </c>
    </row>
    <row r="244" spans="1:9" x14ac:dyDescent="0.3">
      <c r="A244">
        <v>27</v>
      </c>
      <c r="B244" t="s">
        <v>153</v>
      </c>
      <c r="C244" t="s">
        <v>510</v>
      </c>
    </row>
    <row r="245" spans="1:9" x14ac:dyDescent="0.3">
      <c r="A245">
        <v>27</v>
      </c>
      <c r="B245" t="s">
        <v>511</v>
      </c>
    </row>
    <row r="246" spans="1:9" x14ac:dyDescent="0.3">
      <c r="A246" t="s">
        <v>512</v>
      </c>
    </row>
    <row r="247" spans="1:9" x14ac:dyDescent="0.3">
      <c r="A247">
        <v>28</v>
      </c>
      <c r="B247" t="s">
        <v>153</v>
      </c>
      <c r="C247" t="s">
        <v>315</v>
      </c>
      <c r="D247" t="s">
        <v>365</v>
      </c>
      <c r="E247" t="s">
        <v>142</v>
      </c>
      <c r="F247" t="s">
        <v>407</v>
      </c>
      <c r="G247" s="26">
        <v>30020</v>
      </c>
      <c r="H247" t="s">
        <v>148</v>
      </c>
      <c r="I247" t="s">
        <v>186</v>
      </c>
    </row>
    <row r="248" spans="1:9" x14ac:dyDescent="0.3">
      <c r="A248">
        <v>28</v>
      </c>
      <c r="B248" t="s">
        <v>153</v>
      </c>
      <c r="C248" t="s">
        <v>315</v>
      </c>
      <c r="D248" t="s">
        <v>365</v>
      </c>
      <c r="E248" t="s">
        <v>142</v>
      </c>
      <c r="F248" t="s">
        <v>407</v>
      </c>
      <c r="G248" s="26">
        <v>30020</v>
      </c>
      <c r="H248" t="s">
        <v>613</v>
      </c>
    </row>
    <row r="249" spans="1:9" x14ac:dyDescent="0.3">
      <c r="A249">
        <v>28</v>
      </c>
      <c r="B249" t="s">
        <v>153</v>
      </c>
      <c r="C249" t="s">
        <v>315</v>
      </c>
      <c r="D249" t="s">
        <v>365</v>
      </c>
      <c r="E249" t="s">
        <v>142</v>
      </c>
      <c r="F249" t="s">
        <v>407</v>
      </c>
      <c r="G249" s="26" t="s">
        <v>636</v>
      </c>
    </row>
    <row r="250" spans="1:9" x14ac:dyDescent="0.3">
      <c r="A250">
        <v>28</v>
      </c>
      <c r="B250" t="s">
        <v>153</v>
      </c>
      <c r="C250" t="s">
        <v>315</v>
      </c>
      <c r="D250" t="s">
        <v>365</v>
      </c>
      <c r="E250" t="s">
        <v>142</v>
      </c>
      <c r="F250" t="s">
        <v>637</v>
      </c>
    </row>
    <row r="251" spans="1:9" x14ac:dyDescent="0.3">
      <c r="A251">
        <v>28</v>
      </c>
      <c r="B251" t="s">
        <v>153</v>
      </c>
      <c r="C251" t="s">
        <v>315</v>
      </c>
      <c r="D251" t="s">
        <v>365</v>
      </c>
      <c r="E251" t="s">
        <v>432</v>
      </c>
    </row>
    <row r="252" spans="1:9" x14ac:dyDescent="0.3">
      <c r="A252">
        <v>28</v>
      </c>
      <c r="B252" t="s">
        <v>153</v>
      </c>
      <c r="C252" t="s">
        <v>315</v>
      </c>
      <c r="D252" t="s">
        <v>513</v>
      </c>
    </row>
    <row r="253" spans="1:9" x14ac:dyDescent="0.3">
      <c r="A253">
        <v>28</v>
      </c>
      <c r="B253" t="s">
        <v>153</v>
      </c>
      <c r="C253" t="s">
        <v>514</v>
      </c>
    </row>
    <row r="254" spans="1:9" x14ac:dyDescent="0.3">
      <c r="A254">
        <v>28</v>
      </c>
      <c r="B254" t="s">
        <v>511</v>
      </c>
    </row>
    <row r="255" spans="1:9" x14ac:dyDescent="0.3">
      <c r="A255" t="s">
        <v>515</v>
      </c>
    </row>
    <row r="256" spans="1:9" x14ac:dyDescent="0.3">
      <c r="A256">
        <v>29</v>
      </c>
      <c r="B256" t="s">
        <v>153</v>
      </c>
      <c r="C256" t="s">
        <v>316</v>
      </c>
      <c r="D256" t="s">
        <v>366</v>
      </c>
      <c r="E256" t="s">
        <v>138</v>
      </c>
      <c r="F256" t="s">
        <v>408</v>
      </c>
      <c r="G256" s="26">
        <v>34361</v>
      </c>
      <c r="H256" t="s">
        <v>148</v>
      </c>
      <c r="I256" t="s">
        <v>181</v>
      </c>
    </row>
    <row r="257" spans="1:9" x14ac:dyDescent="0.3">
      <c r="A257">
        <v>29</v>
      </c>
      <c r="B257" t="s">
        <v>153</v>
      </c>
      <c r="C257" t="s">
        <v>316</v>
      </c>
      <c r="D257" t="s">
        <v>366</v>
      </c>
      <c r="E257" t="s">
        <v>138</v>
      </c>
      <c r="F257" t="s">
        <v>408</v>
      </c>
      <c r="G257" s="26">
        <v>34361</v>
      </c>
      <c r="H257" t="s">
        <v>613</v>
      </c>
    </row>
    <row r="258" spans="1:9" x14ac:dyDescent="0.3">
      <c r="A258">
        <v>29</v>
      </c>
      <c r="B258" t="s">
        <v>153</v>
      </c>
      <c r="C258" t="s">
        <v>316</v>
      </c>
      <c r="D258" t="s">
        <v>366</v>
      </c>
      <c r="E258" t="s">
        <v>138</v>
      </c>
      <c r="F258" t="s">
        <v>408</v>
      </c>
      <c r="G258" s="26" t="s">
        <v>638</v>
      </c>
    </row>
    <row r="259" spans="1:9" x14ac:dyDescent="0.3">
      <c r="A259">
        <v>29</v>
      </c>
      <c r="B259" t="s">
        <v>153</v>
      </c>
      <c r="C259" t="s">
        <v>316</v>
      </c>
      <c r="D259" t="s">
        <v>366</v>
      </c>
      <c r="E259" t="s">
        <v>138</v>
      </c>
      <c r="F259" t="s">
        <v>639</v>
      </c>
    </row>
    <row r="260" spans="1:9" x14ac:dyDescent="0.3">
      <c r="A260">
        <v>29</v>
      </c>
      <c r="B260" t="s">
        <v>153</v>
      </c>
      <c r="C260" t="s">
        <v>316</v>
      </c>
      <c r="D260" t="s">
        <v>366</v>
      </c>
      <c r="E260" t="s">
        <v>424</v>
      </c>
    </row>
    <row r="261" spans="1:9" x14ac:dyDescent="0.3">
      <c r="A261">
        <v>29</v>
      </c>
      <c r="B261" t="s">
        <v>153</v>
      </c>
      <c r="C261" t="s">
        <v>316</v>
      </c>
      <c r="D261" t="s">
        <v>516</v>
      </c>
    </row>
    <row r="262" spans="1:9" x14ac:dyDescent="0.3">
      <c r="A262">
        <v>29</v>
      </c>
      <c r="B262" t="s">
        <v>153</v>
      </c>
      <c r="C262" t="s">
        <v>517</v>
      </c>
    </row>
    <row r="263" spans="1:9" x14ac:dyDescent="0.3">
      <c r="A263">
        <v>29</v>
      </c>
      <c r="B263" t="s">
        <v>511</v>
      </c>
    </row>
    <row r="264" spans="1:9" x14ac:dyDescent="0.3">
      <c r="A264" t="s">
        <v>518</v>
      </c>
    </row>
    <row r="265" spans="1:9" x14ac:dyDescent="0.3">
      <c r="A265">
        <v>30</v>
      </c>
      <c r="B265" t="s">
        <v>156</v>
      </c>
      <c r="C265" t="s">
        <v>317</v>
      </c>
      <c r="D265" t="s">
        <v>367</v>
      </c>
      <c r="E265" t="s">
        <v>138</v>
      </c>
      <c r="F265" t="s">
        <v>409</v>
      </c>
      <c r="G265" s="26">
        <v>29137</v>
      </c>
      <c r="H265" t="s">
        <v>155</v>
      </c>
      <c r="I265" t="s">
        <v>198</v>
      </c>
    </row>
    <row r="266" spans="1:9" x14ac:dyDescent="0.3">
      <c r="A266">
        <v>30</v>
      </c>
      <c r="B266" t="s">
        <v>156</v>
      </c>
      <c r="C266" t="s">
        <v>317</v>
      </c>
      <c r="D266" t="s">
        <v>367</v>
      </c>
      <c r="E266" t="s">
        <v>138</v>
      </c>
      <c r="F266" t="s">
        <v>409</v>
      </c>
      <c r="G266" s="26">
        <v>29137</v>
      </c>
      <c r="H266" t="s">
        <v>640</v>
      </c>
    </row>
    <row r="267" spans="1:9" x14ac:dyDescent="0.3">
      <c r="A267">
        <v>30</v>
      </c>
      <c r="B267" t="s">
        <v>156</v>
      </c>
      <c r="C267" t="s">
        <v>317</v>
      </c>
      <c r="D267" t="s">
        <v>367</v>
      </c>
      <c r="E267" t="s">
        <v>138</v>
      </c>
      <c r="F267" t="s">
        <v>409</v>
      </c>
      <c r="G267" s="26" t="s">
        <v>641</v>
      </c>
    </row>
    <row r="268" spans="1:9" x14ac:dyDescent="0.3">
      <c r="A268">
        <v>30</v>
      </c>
      <c r="B268" t="s">
        <v>156</v>
      </c>
      <c r="C268" t="s">
        <v>317</v>
      </c>
      <c r="D268" t="s">
        <v>367</v>
      </c>
      <c r="E268" t="s">
        <v>138</v>
      </c>
      <c r="F268" t="s">
        <v>642</v>
      </c>
    </row>
    <row r="269" spans="1:9" x14ac:dyDescent="0.3">
      <c r="A269">
        <v>30</v>
      </c>
      <c r="B269" t="s">
        <v>156</v>
      </c>
      <c r="C269" t="s">
        <v>317</v>
      </c>
      <c r="D269" t="s">
        <v>367</v>
      </c>
      <c r="E269" t="s">
        <v>424</v>
      </c>
    </row>
    <row r="270" spans="1:9" x14ac:dyDescent="0.3">
      <c r="A270">
        <v>30</v>
      </c>
      <c r="B270" t="s">
        <v>156</v>
      </c>
      <c r="C270" t="s">
        <v>317</v>
      </c>
      <c r="D270" t="s">
        <v>519</v>
      </c>
    </row>
    <row r="271" spans="1:9" x14ac:dyDescent="0.3">
      <c r="A271">
        <v>30</v>
      </c>
      <c r="B271" t="s">
        <v>156</v>
      </c>
      <c r="C271" t="s">
        <v>520</v>
      </c>
    </row>
    <row r="272" spans="1:9" x14ac:dyDescent="0.3">
      <c r="A272">
        <v>30</v>
      </c>
      <c r="B272" t="s">
        <v>521</v>
      </c>
    </row>
    <row r="273" spans="1:9" x14ac:dyDescent="0.3">
      <c r="A273" t="s">
        <v>522</v>
      </c>
    </row>
    <row r="274" spans="1:9" x14ac:dyDescent="0.3">
      <c r="A274">
        <v>31</v>
      </c>
      <c r="B274" t="s">
        <v>156</v>
      </c>
      <c r="C274" t="s">
        <v>318</v>
      </c>
      <c r="D274" t="s">
        <v>368</v>
      </c>
      <c r="E274" t="s">
        <v>138</v>
      </c>
      <c r="F274" t="s">
        <v>410</v>
      </c>
      <c r="G274" s="26">
        <v>32867</v>
      </c>
      <c r="H274" t="s">
        <v>155</v>
      </c>
      <c r="I274" t="s">
        <v>197</v>
      </c>
    </row>
    <row r="275" spans="1:9" x14ac:dyDescent="0.3">
      <c r="A275">
        <v>31</v>
      </c>
      <c r="B275" t="s">
        <v>156</v>
      </c>
      <c r="C275" t="s">
        <v>318</v>
      </c>
      <c r="D275" t="s">
        <v>368</v>
      </c>
      <c r="E275" t="s">
        <v>138</v>
      </c>
      <c r="F275" t="s">
        <v>410</v>
      </c>
      <c r="G275" s="26">
        <v>32867</v>
      </c>
      <c r="H275" t="s">
        <v>640</v>
      </c>
    </row>
    <row r="276" spans="1:9" x14ac:dyDescent="0.3">
      <c r="A276">
        <v>31</v>
      </c>
      <c r="B276" t="s">
        <v>156</v>
      </c>
      <c r="C276" t="s">
        <v>318</v>
      </c>
      <c r="D276" t="s">
        <v>368</v>
      </c>
      <c r="E276" t="s">
        <v>138</v>
      </c>
      <c r="F276" t="s">
        <v>410</v>
      </c>
      <c r="G276" s="26" t="s">
        <v>643</v>
      </c>
    </row>
    <row r="277" spans="1:9" x14ac:dyDescent="0.3">
      <c r="A277">
        <v>31</v>
      </c>
      <c r="B277" t="s">
        <v>156</v>
      </c>
      <c r="C277" t="s">
        <v>318</v>
      </c>
      <c r="D277" t="s">
        <v>368</v>
      </c>
      <c r="E277" t="s">
        <v>138</v>
      </c>
      <c r="F277" t="s">
        <v>644</v>
      </c>
    </row>
    <row r="278" spans="1:9" x14ac:dyDescent="0.3">
      <c r="A278">
        <v>31</v>
      </c>
      <c r="B278" t="s">
        <v>156</v>
      </c>
      <c r="C278" t="s">
        <v>318</v>
      </c>
      <c r="D278" t="s">
        <v>368</v>
      </c>
      <c r="E278" t="s">
        <v>424</v>
      </c>
    </row>
    <row r="279" spans="1:9" x14ac:dyDescent="0.3">
      <c r="A279">
        <v>31</v>
      </c>
      <c r="B279" t="s">
        <v>156</v>
      </c>
      <c r="C279" t="s">
        <v>318</v>
      </c>
      <c r="D279" t="s">
        <v>523</v>
      </c>
    </row>
    <row r="280" spans="1:9" x14ac:dyDescent="0.3">
      <c r="A280">
        <v>31</v>
      </c>
      <c r="B280" t="s">
        <v>156</v>
      </c>
      <c r="C280" t="s">
        <v>524</v>
      </c>
    </row>
    <row r="281" spans="1:9" x14ac:dyDescent="0.3">
      <c r="A281">
        <v>31</v>
      </c>
      <c r="B281" t="s">
        <v>521</v>
      </c>
    </row>
    <row r="282" spans="1:9" x14ac:dyDescent="0.3">
      <c r="A282" t="s">
        <v>525</v>
      </c>
    </row>
    <row r="283" spans="1:9" x14ac:dyDescent="0.3">
      <c r="A283">
        <v>32</v>
      </c>
      <c r="B283" t="s">
        <v>156</v>
      </c>
      <c r="C283" t="s">
        <v>319</v>
      </c>
      <c r="D283" t="s">
        <v>369</v>
      </c>
      <c r="E283" t="s">
        <v>138</v>
      </c>
      <c r="F283" t="s">
        <v>392</v>
      </c>
      <c r="G283" s="26">
        <v>25925</v>
      </c>
      <c r="H283" t="s">
        <v>155</v>
      </c>
      <c r="I283" t="s">
        <v>195</v>
      </c>
    </row>
    <row r="284" spans="1:9" x14ac:dyDescent="0.3">
      <c r="A284">
        <v>32</v>
      </c>
      <c r="B284" t="s">
        <v>156</v>
      </c>
      <c r="C284" t="s">
        <v>319</v>
      </c>
      <c r="D284" t="s">
        <v>369</v>
      </c>
      <c r="E284" t="s">
        <v>138</v>
      </c>
      <c r="F284" t="s">
        <v>392</v>
      </c>
      <c r="G284" s="26">
        <v>25925</v>
      </c>
      <c r="H284" t="s">
        <v>640</v>
      </c>
    </row>
    <row r="285" spans="1:9" x14ac:dyDescent="0.3">
      <c r="A285">
        <v>32</v>
      </c>
      <c r="B285" t="s">
        <v>156</v>
      </c>
      <c r="C285" t="s">
        <v>319</v>
      </c>
      <c r="D285" t="s">
        <v>369</v>
      </c>
      <c r="E285" t="s">
        <v>138</v>
      </c>
      <c r="F285" t="s">
        <v>392</v>
      </c>
      <c r="G285" s="26" t="s">
        <v>645</v>
      </c>
    </row>
    <row r="286" spans="1:9" x14ac:dyDescent="0.3">
      <c r="A286">
        <v>32</v>
      </c>
      <c r="B286" t="s">
        <v>156</v>
      </c>
      <c r="C286" t="s">
        <v>319</v>
      </c>
      <c r="D286" t="s">
        <v>369</v>
      </c>
      <c r="E286" t="s">
        <v>138</v>
      </c>
      <c r="F286" t="s">
        <v>598</v>
      </c>
    </row>
    <row r="287" spans="1:9" x14ac:dyDescent="0.3">
      <c r="A287">
        <v>32</v>
      </c>
      <c r="B287" t="s">
        <v>156</v>
      </c>
      <c r="C287" t="s">
        <v>319</v>
      </c>
      <c r="D287" t="s">
        <v>369</v>
      </c>
      <c r="E287" t="s">
        <v>424</v>
      </c>
    </row>
    <row r="288" spans="1:9" x14ac:dyDescent="0.3">
      <c r="A288">
        <v>32</v>
      </c>
      <c r="B288" t="s">
        <v>156</v>
      </c>
      <c r="C288" t="s">
        <v>319</v>
      </c>
      <c r="D288" t="s">
        <v>526</v>
      </c>
    </row>
    <row r="289" spans="1:9" x14ac:dyDescent="0.3">
      <c r="A289">
        <v>32</v>
      </c>
      <c r="B289" t="s">
        <v>156</v>
      </c>
      <c r="C289" t="s">
        <v>527</v>
      </c>
    </row>
    <row r="290" spans="1:9" x14ac:dyDescent="0.3">
      <c r="A290">
        <v>32</v>
      </c>
      <c r="B290" t="s">
        <v>521</v>
      </c>
    </row>
    <row r="291" spans="1:9" x14ac:dyDescent="0.3">
      <c r="A291" t="s">
        <v>528</v>
      </c>
    </row>
    <row r="292" spans="1:9" x14ac:dyDescent="0.3">
      <c r="A292">
        <v>33</v>
      </c>
      <c r="B292" t="s">
        <v>156</v>
      </c>
      <c r="C292" t="s">
        <v>320</v>
      </c>
      <c r="D292" t="s">
        <v>370</v>
      </c>
      <c r="E292" t="s">
        <v>142</v>
      </c>
      <c r="F292" t="s">
        <v>411</v>
      </c>
      <c r="G292" s="26">
        <v>29529</v>
      </c>
      <c r="H292" t="s">
        <v>155</v>
      </c>
      <c r="I292" t="s">
        <v>199</v>
      </c>
    </row>
    <row r="293" spans="1:9" x14ac:dyDescent="0.3">
      <c r="A293">
        <v>33</v>
      </c>
      <c r="B293" t="s">
        <v>156</v>
      </c>
      <c r="C293" t="s">
        <v>320</v>
      </c>
      <c r="D293" t="s">
        <v>370</v>
      </c>
      <c r="E293" t="s">
        <v>142</v>
      </c>
      <c r="F293" t="s">
        <v>411</v>
      </c>
      <c r="G293" s="26">
        <v>29529</v>
      </c>
      <c r="H293" t="s">
        <v>640</v>
      </c>
    </row>
    <row r="294" spans="1:9" x14ac:dyDescent="0.3">
      <c r="A294">
        <v>33</v>
      </c>
      <c r="B294" t="s">
        <v>156</v>
      </c>
      <c r="C294" t="s">
        <v>320</v>
      </c>
      <c r="D294" t="s">
        <v>370</v>
      </c>
      <c r="E294" t="s">
        <v>142</v>
      </c>
      <c r="F294" t="s">
        <v>411</v>
      </c>
      <c r="G294" s="26" t="s">
        <v>646</v>
      </c>
    </row>
    <row r="295" spans="1:9" x14ac:dyDescent="0.3">
      <c r="A295">
        <v>33</v>
      </c>
      <c r="B295" t="s">
        <v>156</v>
      </c>
      <c r="C295" t="s">
        <v>320</v>
      </c>
      <c r="D295" t="s">
        <v>370</v>
      </c>
      <c r="E295" t="s">
        <v>142</v>
      </c>
      <c r="F295" t="s">
        <v>647</v>
      </c>
    </row>
    <row r="296" spans="1:9" x14ac:dyDescent="0.3">
      <c r="A296">
        <v>33</v>
      </c>
      <c r="B296" t="s">
        <v>156</v>
      </c>
      <c r="C296" t="s">
        <v>320</v>
      </c>
      <c r="D296" t="s">
        <v>370</v>
      </c>
      <c r="E296" t="s">
        <v>432</v>
      </c>
    </row>
    <row r="297" spans="1:9" x14ac:dyDescent="0.3">
      <c r="A297">
        <v>33</v>
      </c>
      <c r="B297" t="s">
        <v>156</v>
      </c>
      <c r="C297" t="s">
        <v>320</v>
      </c>
      <c r="D297" t="s">
        <v>529</v>
      </c>
    </row>
    <row r="298" spans="1:9" x14ac:dyDescent="0.3">
      <c r="A298">
        <v>33</v>
      </c>
      <c r="B298" t="s">
        <v>156</v>
      </c>
      <c r="C298" t="s">
        <v>530</v>
      </c>
    </row>
    <row r="299" spans="1:9" x14ac:dyDescent="0.3">
      <c r="A299">
        <v>33</v>
      </c>
      <c r="B299" t="s">
        <v>521</v>
      </c>
    </row>
    <row r="300" spans="1:9" x14ac:dyDescent="0.3">
      <c r="A300" t="s">
        <v>531</v>
      </c>
    </row>
    <row r="301" spans="1:9" x14ac:dyDescent="0.3">
      <c r="A301">
        <v>34</v>
      </c>
      <c r="B301" t="s">
        <v>156</v>
      </c>
      <c r="C301" t="s">
        <v>321</v>
      </c>
      <c r="D301" t="s">
        <v>371</v>
      </c>
      <c r="E301" t="s">
        <v>142</v>
      </c>
      <c r="F301" t="s">
        <v>412</v>
      </c>
      <c r="G301" s="26">
        <v>29875</v>
      </c>
      <c r="H301" t="s">
        <v>155</v>
      </c>
      <c r="I301" t="s">
        <v>193</v>
      </c>
    </row>
    <row r="302" spans="1:9" x14ac:dyDescent="0.3">
      <c r="A302">
        <v>34</v>
      </c>
      <c r="B302" t="s">
        <v>156</v>
      </c>
      <c r="C302" t="s">
        <v>321</v>
      </c>
      <c r="D302" t="s">
        <v>371</v>
      </c>
      <c r="E302" t="s">
        <v>142</v>
      </c>
      <c r="F302" t="s">
        <v>412</v>
      </c>
      <c r="G302" s="26">
        <v>29875</v>
      </c>
      <c r="H302" t="s">
        <v>640</v>
      </c>
    </row>
    <row r="303" spans="1:9" x14ac:dyDescent="0.3">
      <c r="A303">
        <v>34</v>
      </c>
      <c r="B303" t="s">
        <v>156</v>
      </c>
      <c r="C303" t="s">
        <v>321</v>
      </c>
      <c r="D303" t="s">
        <v>371</v>
      </c>
      <c r="E303" t="s">
        <v>142</v>
      </c>
      <c r="F303" t="s">
        <v>412</v>
      </c>
      <c r="G303" s="26" t="s">
        <v>648</v>
      </c>
    </row>
    <row r="304" spans="1:9" x14ac:dyDescent="0.3">
      <c r="A304">
        <v>34</v>
      </c>
      <c r="B304" t="s">
        <v>156</v>
      </c>
      <c r="C304" t="s">
        <v>321</v>
      </c>
      <c r="D304" t="s">
        <v>371</v>
      </c>
      <c r="E304" t="s">
        <v>142</v>
      </c>
      <c r="F304" t="s">
        <v>649</v>
      </c>
    </row>
    <row r="305" spans="1:9" x14ac:dyDescent="0.3">
      <c r="A305">
        <v>34</v>
      </c>
      <c r="B305" t="s">
        <v>156</v>
      </c>
      <c r="C305" t="s">
        <v>321</v>
      </c>
      <c r="D305" t="s">
        <v>371</v>
      </c>
      <c r="E305" t="s">
        <v>432</v>
      </c>
    </row>
    <row r="306" spans="1:9" x14ac:dyDescent="0.3">
      <c r="A306">
        <v>34</v>
      </c>
      <c r="B306" t="s">
        <v>156</v>
      </c>
      <c r="C306" t="s">
        <v>321</v>
      </c>
      <c r="D306" t="s">
        <v>532</v>
      </c>
    </row>
    <row r="307" spans="1:9" x14ac:dyDescent="0.3">
      <c r="A307">
        <v>34</v>
      </c>
      <c r="B307" t="s">
        <v>156</v>
      </c>
      <c r="C307" t="s">
        <v>533</v>
      </c>
    </row>
    <row r="308" spans="1:9" x14ac:dyDescent="0.3">
      <c r="A308">
        <v>34</v>
      </c>
      <c r="B308" t="s">
        <v>521</v>
      </c>
    </row>
    <row r="309" spans="1:9" x14ac:dyDescent="0.3">
      <c r="A309" t="s">
        <v>534</v>
      </c>
    </row>
    <row r="310" spans="1:9" x14ac:dyDescent="0.3">
      <c r="A310">
        <v>35</v>
      </c>
      <c r="B310" t="s">
        <v>156</v>
      </c>
      <c r="C310" t="s">
        <v>322</v>
      </c>
      <c r="D310" t="s">
        <v>372</v>
      </c>
      <c r="E310" t="s">
        <v>142</v>
      </c>
      <c r="F310" t="s">
        <v>404</v>
      </c>
      <c r="G310" s="26">
        <v>20300</v>
      </c>
      <c r="H310" t="s">
        <v>155</v>
      </c>
      <c r="I310" t="s">
        <v>200</v>
      </c>
    </row>
    <row r="311" spans="1:9" x14ac:dyDescent="0.3">
      <c r="A311">
        <v>35</v>
      </c>
      <c r="B311" t="s">
        <v>156</v>
      </c>
      <c r="C311" t="s">
        <v>322</v>
      </c>
      <c r="D311" t="s">
        <v>372</v>
      </c>
      <c r="E311" t="s">
        <v>142</v>
      </c>
      <c r="F311" t="s">
        <v>404</v>
      </c>
      <c r="G311" s="26">
        <v>20300</v>
      </c>
      <c r="H311" t="s">
        <v>640</v>
      </c>
    </row>
    <row r="312" spans="1:9" x14ac:dyDescent="0.3">
      <c r="A312">
        <v>35</v>
      </c>
      <c r="B312" t="s">
        <v>156</v>
      </c>
      <c r="C312" t="s">
        <v>322</v>
      </c>
      <c r="D312" t="s">
        <v>372</v>
      </c>
      <c r="E312" t="s">
        <v>142</v>
      </c>
      <c r="F312" t="s">
        <v>404</v>
      </c>
      <c r="G312" s="26" t="s">
        <v>650</v>
      </c>
    </row>
    <row r="313" spans="1:9" x14ac:dyDescent="0.3">
      <c r="A313">
        <v>35</v>
      </c>
      <c r="B313" t="s">
        <v>156</v>
      </c>
      <c r="C313" t="s">
        <v>322</v>
      </c>
      <c r="D313" t="s">
        <v>372</v>
      </c>
      <c r="E313" t="s">
        <v>142</v>
      </c>
      <c r="F313" t="s">
        <v>629</v>
      </c>
    </row>
    <row r="314" spans="1:9" x14ac:dyDescent="0.3">
      <c r="A314">
        <v>35</v>
      </c>
      <c r="B314" t="s">
        <v>156</v>
      </c>
      <c r="C314" t="s">
        <v>322</v>
      </c>
      <c r="D314" t="s">
        <v>372</v>
      </c>
      <c r="E314" t="s">
        <v>432</v>
      </c>
    </row>
    <row r="315" spans="1:9" x14ac:dyDescent="0.3">
      <c r="A315">
        <v>35</v>
      </c>
      <c r="B315" t="s">
        <v>156</v>
      </c>
      <c r="C315" t="s">
        <v>322</v>
      </c>
      <c r="D315" t="s">
        <v>535</v>
      </c>
    </row>
    <row r="316" spans="1:9" x14ac:dyDescent="0.3">
      <c r="A316">
        <v>35</v>
      </c>
      <c r="B316" t="s">
        <v>156</v>
      </c>
      <c r="C316" t="s">
        <v>536</v>
      </c>
    </row>
    <row r="317" spans="1:9" x14ac:dyDescent="0.3">
      <c r="A317">
        <v>35</v>
      </c>
      <c r="B317" t="s">
        <v>521</v>
      </c>
    </row>
    <row r="318" spans="1:9" x14ac:dyDescent="0.3">
      <c r="A318" t="s">
        <v>537</v>
      </c>
    </row>
    <row r="319" spans="1:9" x14ac:dyDescent="0.3">
      <c r="A319">
        <v>36</v>
      </c>
      <c r="B319" t="s">
        <v>156</v>
      </c>
      <c r="C319" t="s">
        <v>323</v>
      </c>
      <c r="D319" t="s">
        <v>373</v>
      </c>
      <c r="E319" t="s">
        <v>142</v>
      </c>
      <c r="F319" t="s">
        <v>391</v>
      </c>
      <c r="G319" s="26">
        <v>27428</v>
      </c>
      <c r="H319" t="s">
        <v>155</v>
      </c>
      <c r="I319" t="s">
        <v>193</v>
      </c>
    </row>
    <row r="320" spans="1:9" x14ac:dyDescent="0.3">
      <c r="A320">
        <v>36</v>
      </c>
      <c r="B320" t="s">
        <v>156</v>
      </c>
      <c r="C320" t="s">
        <v>323</v>
      </c>
      <c r="D320" t="s">
        <v>373</v>
      </c>
      <c r="E320" t="s">
        <v>142</v>
      </c>
      <c r="F320" t="s">
        <v>391</v>
      </c>
      <c r="G320" s="26">
        <v>27428</v>
      </c>
      <c r="H320" t="s">
        <v>640</v>
      </c>
    </row>
    <row r="321" spans="1:9" x14ac:dyDescent="0.3">
      <c r="A321">
        <v>36</v>
      </c>
      <c r="B321" t="s">
        <v>156</v>
      </c>
      <c r="C321" t="s">
        <v>323</v>
      </c>
      <c r="D321" t="s">
        <v>373</v>
      </c>
      <c r="E321" t="s">
        <v>142</v>
      </c>
      <c r="F321" t="s">
        <v>391</v>
      </c>
      <c r="G321" s="26" t="s">
        <v>651</v>
      </c>
    </row>
    <row r="322" spans="1:9" x14ac:dyDescent="0.3">
      <c r="A322">
        <v>36</v>
      </c>
      <c r="B322" t="s">
        <v>156</v>
      </c>
      <c r="C322" t="s">
        <v>323</v>
      </c>
      <c r="D322" t="s">
        <v>373</v>
      </c>
      <c r="E322" t="s">
        <v>142</v>
      </c>
      <c r="F322" t="s">
        <v>596</v>
      </c>
    </row>
    <row r="323" spans="1:9" x14ac:dyDescent="0.3">
      <c r="A323">
        <v>36</v>
      </c>
      <c r="B323" t="s">
        <v>156</v>
      </c>
      <c r="C323" t="s">
        <v>323</v>
      </c>
      <c r="D323" t="s">
        <v>373</v>
      </c>
      <c r="E323" t="s">
        <v>432</v>
      </c>
    </row>
    <row r="324" spans="1:9" x14ac:dyDescent="0.3">
      <c r="A324">
        <v>36</v>
      </c>
      <c r="B324" t="s">
        <v>156</v>
      </c>
      <c r="C324" t="s">
        <v>323</v>
      </c>
      <c r="D324" t="s">
        <v>538</v>
      </c>
    </row>
    <row r="325" spans="1:9" x14ac:dyDescent="0.3">
      <c r="A325">
        <v>36</v>
      </c>
      <c r="B325" t="s">
        <v>156</v>
      </c>
      <c r="C325" t="s">
        <v>539</v>
      </c>
    </row>
    <row r="326" spans="1:9" x14ac:dyDescent="0.3">
      <c r="A326">
        <v>36</v>
      </c>
      <c r="B326" t="s">
        <v>521</v>
      </c>
    </row>
    <row r="327" spans="1:9" x14ac:dyDescent="0.3">
      <c r="A327" t="s">
        <v>540</v>
      </c>
    </row>
    <row r="328" spans="1:9" x14ac:dyDescent="0.3">
      <c r="A328">
        <v>37</v>
      </c>
      <c r="B328" t="s">
        <v>156</v>
      </c>
      <c r="C328" t="s">
        <v>324</v>
      </c>
      <c r="D328" t="s">
        <v>374</v>
      </c>
      <c r="E328" t="s">
        <v>142</v>
      </c>
      <c r="F328" t="s">
        <v>397</v>
      </c>
      <c r="G328" s="26">
        <v>31585</v>
      </c>
      <c r="H328" t="s">
        <v>155</v>
      </c>
      <c r="I328" t="s">
        <v>201</v>
      </c>
    </row>
    <row r="329" spans="1:9" x14ac:dyDescent="0.3">
      <c r="A329">
        <v>37</v>
      </c>
      <c r="B329" t="s">
        <v>156</v>
      </c>
      <c r="C329" t="s">
        <v>324</v>
      </c>
      <c r="D329" t="s">
        <v>374</v>
      </c>
      <c r="E329" t="s">
        <v>142</v>
      </c>
      <c r="F329" t="s">
        <v>397</v>
      </c>
      <c r="G329" s="26">
        <v>31585</v>
      </c>
      <c r="H329" t="s">
        <v>640</v>
      </c>
    </row>
    <row r="330" spans="1:9" x14ac:dyDescent="0.3">
      <c r="A330">
        <v>37</v>
      </c>
      <c r="B330" t="s">
        <v>156</v>
      </c>
      <c r="C330" t="s">
        <v>324</v>
      </c>
      <c r="D330" t="s">
        <v>374</v>
      </c>
      <c r="E330" t="s">
        <v>142</v>
      </c>
      <c r="F330" t="s">
        <v>397</v>
      </c>
      <c r="G330" s="26" t="s">
        <v>652</v>
      </c>
    </row>
    <row r="331" spans="1:9" x14ac:dyDescent="0.3">
      <c r="A331">
        <v>37</v>
      </c>
      <c r="B331" t="s">
        <v>156</v>
      </c>
      <c r="C331" t="s">
        <v>324</v>
      </c>
      <c r="D331" t="s">
        <v>374</v>
      </c>
      <c r="E331" t="s">
        <v>142</v>
      </c>
      <c r="F331" t="s">
        <v>609</v>
      </c>
    </row>
    <row r="332" spans="1:9" x14ac:dyDescent="0.3">
      <c r="A332">
        <v>37</v>
      </c>
      <c r="B332" t="s">
        <v>156</v>
      </c>
      <c r="C332" t="s">
        <v>324</v>
      </c>
      <c r="D332" t="s">
        <v>374</v>
      </c>
      <c r="E332" t="s">
        <v>432</v>
      </c>
    </row>
    <row r="333" spans="1:9" x14ac:dyDescent="0.3">
      <c r="A333">
        <v>37</v>
      </c>
      <c r="B333" t="s">
        <v>156</v>
      </c>
      <c r="C333" t="s">
        <v>324</v>
      </c>
      <c r="D333" t="s">
        <v>541</v>
      </c>
    </row>
    <row r="334" spans="1:9" x14ac:dyDescent="0.3">
      <c r="A334">
        <v>37</v>
      </c>
      <c r="B334" t="s">
        <v>156</v>
      </c>
      <c r="C334" t="s">
        <v>542</v>
      </c>
    </row>
    <row r="335" spans="1:9" x14ac:dyDescent="0.3">
      <c r="A335">
        <v>37</v>
      </c>
      <c r="B335" t="s">
        <v>521</v>
      </c>
    </row>
    <row r="336" spans="1:9" x14ac:dyDescent="0.3">
      <c r="A336" t="s">
        <v>543</v>
      </c>
    </row>
    <row r="337" spans="1:9" x14ac:dyDescent="0.3">
      <c r="A337">
        <v>38</v>
      </c>
      <c r="B337" t="s">
        <v>156</v>
      </c>
      <c r="C337" t="s">
        <v>325</v>
      </c>
      <c r="D337" t="s">
        <v>375</v>
      </c>
      <c r="E337" t="s">
        <v>142</v>
      </c>
      <c r="F337" t="s">
        <v>413</v>
      </c>
      <c r="G337" s="26">
        <v>30327</v>
      </c>
      <c r="H337" t="s">
        <v>155</v>
      </c>
      <c r="I337" t="s">
        <v>174</v>
      </c>
    </row>
    <row r="338" spans="1:9" x14ac:dyDescent="0.3">
      <c r="A338">
        <v>38</v>
      </c>
      <c r="B338" t="s">
        <v>156</v>
      </c>
      <c r="C338" t="s">
        <v>325</v>
      </c>
      <c r="D338" t="s">
        <v>375</v>
      </c>
      <c r="E338" t="s">
        <v>142</v>
      </c>
      <c r="F338" t="s">
        <v>413</v>
      </c>
      <c r="G338" s="26">
        <v>30327</v>
      </c>
      <c r="H338" t="s">
        <v>640</v>
      </c>
    </row>
    <row r="339" spans="1:9" x14ac:dyDescent="0.3">
      <c r="A339">
        <v>38</v>
      </c>
      <c r="B339" t="s">
        <v>156</v>
      </c>
      <c r="C339" t="s">
        <v>325</v>
      </c>
      <c r="D339" t="s">
        <v>375</v>
      </c>
      <c r="E339" t="s">
        <v>142</v>
      </c>
      <c r="F339" t="s">
        <v>413</v>
      </c>
      <c r="G339" s="26" t="s">
        <v>653</v>
      </c>
    </row>
    <row r="340" spans="1:9" x14ac:dyDescent="0.3">
      <c r="A340">
        <v>38</v>
      </c>
      <c r="B340" t="s">
        <v>156</v>
      </c>
      <c r="C340" t="s">
        <v>325</v>
      </c>
      <c r="D340" t="s">
        <v>375</v>
      </c>
      <c r="E340" t="s">
        <v>142</v>
      </c>
      <c r="F340" t="s">
        <v>654</v>
      </c>
    </row>
    <row r="341" spans="1:9" x14ac:dyDescent="0.3">
      <c r="A341">
        <v>38</v>
      </c>
      <c r="B341" t="s">
        <v>156</v>
      </c>
      <c r="C341" t="s">
        <v>325</v>
      </c>
      <c r="D341" t="s">
        <v>375</v>
      </c>
      <c r="E341" t="s">
        <v>432</v>
      </c>
    </row>
    <row r="342" spans="1:9" x14ac:dyDescent="0.3">
      <c r="A342">
        <v>38</v>
      </c>
      <c r="B342" t="s">
        <v>156</v>
      </c>
      <c r="C342" t="s">
        <v>325</v>
      </c>
      <c r="D342" t="s">
        <v>544</v>
      </c>
    </row>
    <row r="343" spans="1:9" x14ac:dyDescent="0.3">
      <c r="A343">
        <v>38</v>
      </c>
      <c r="B343" t="s">
        <v>156</v>
      </c>
      <c r="C343" t="s">
        <v>545</v>
      </c>
    </row>
    <row r="344" spans="1:9" x14ac:dyDescent="0.3">
      <c r="A344">
        <v>38</v>
      </c>
      <c r="B344" t="s">
        <v>521</v>
      </c>
    </row>
    <row r="345" spans="1:9" x14ac:dyDescent="0.3">
      <c r="A345" t="s">
        <v>546</v>
      </c>
    </row>
    <row r="346" spans="1:9" x14ac:dyDescent="0.3">
      <c r="A346">
        <v>39</v>
      </c>
      <c r="B346" t="s">
        <v>159</v>
      </c>
      <c r="C346" t="s">
        <v>326</v>
      </c>
      <c r="D346" t="s">
        <v>376</v>
      </c>
      <c r="E346" t="s">
        <v>142</v>
      </c>
      <c r="F346" t="s">
        <v>414</v>
      </c>
      <c r="G346" s="26">
        <v>31016</v>
      </c>
      <c r="H346" t="s">
        <v>158</v>
      </c>
      <c r="I346" t="s">
        <v>196</v>
      </c>
    </row>
    <row r="347" spans="1:9" x14ac:dyDescent="0.3">
      <c r="A347">
        <v>39</v>
      </c>
      <c r="B347" t="s">
        <v>159</v>
      </c>
      <c r="C347" t="s">
        <v>326</v>
      </c>
      <c r="D347" t="s">
        <v>376</v>
      </c>
      <c r="E347" t="s">
        <v>142</v>
      </c>
      <c r="F347" t="s">
        <v>414</v>
      </c>
      <c r="G347" s="26">
        <v>31016</v>
      </c>
      <c r="H347" t="s">
        <v>655</v>
      </c>
    </row>
    <row r="348" spans="1:9" x14ac:dyDescent="0.3">
      <c r="A348">
        <v>39</v>
      </c>
      <c r="B348" t="s">
        <v>159</v>
      </c>
      <c r="C348" t="s">
        <v>326</v>
      </c>
      <c r="D348" t="s">
        <v>376</v>
      </c>
      <c r="E348" t="s">
        <v>142</v>
      </c>
      <c r="F348" t="s">
        <v>414</v>
      </c>
      <c r="G348" s="26" t="s">
        <v>656</v>
      </c>
    </row>
    <row r="349" spans="1:9" x14ac:dyDescent="0.3">
      <c r="A349">
        <v>39</v>
      </c>
      <c r="B349" t="s">
        <v>159</v>
      </c>
      <c r="C349" t="s">
        <v>326</v>
      </c>
      <c r="D349" t="s">
        <v>376</v>
      </c>
      <c r="E349" t="s">
        <v>142</v>
      </c>
      <c r="F349" t="s">
        <v>657</v>
      </c>
    </row>
    <row r="350" spans="1:9" x14ac:dyDescent="0.3">
      <c r="A350">
        <v>39</v>
      </c>
      <c r="B350" t="s">
        <v>159</v>
      </c>
      <c r="C350" t="s">
        <v>326</v>
      </c>
      <c r="D350" t="s">
        <v>376</v>
      </c>
      <c r="E350" t="s">
        <v>432</v>
      </c>
    </row>
    <row r="351" spans="1:9" x14ac:dyDescent="0.3">
      <c r="A351">
        <v>39</v>
      </c>
      <c r="B351" t="s">
        <v>159</v>
      </c>
      <c r="C351" t="s">
        <v>326</v>
      </c>
      <c r="D351" t="s">
        <v>547</v>
      </c>
    </row>
    <row r="352" spans="1:9" x14ac:dyDescent="0.3">
      <c r="A352">
        <v>39</v>
      </c>
      <c r="B352" t="s">
        <v>159</v>
      </c>
      <c r="C352" t="s">
        <v>548</v>
      </c>
    </row>
    <row r="353" spans="1:9" x14ac:dyDescent="0.3">
      <c r="A353">
        <v>39</v>
      </c>
      <c r="B353" t="s">
        <v>549</v>
      </c>
    </row>
    <row r="354" spans="1:9" x14ac:dyDescent="0.3">
      <c r="A354" t="s">
        <v>550</v>
      </c>
    </row>
    <row r="355" spans="1:9" x14ac:dyDescent="0.3">
      <c r="A355">
        <v>40</v>
      </c>
      <c r="B355" t="s">
        <v>159</v>
      </c>
      <c r="C355" t="s">
        <v>327</v>
      </c>
      <c r="D355" t="s">
        <v>377</v>
      </c>
      <c r="E355" t="s">
        <v>142</v>
      </c>
      <c r="F355" t="s">
        <v>415</v>
      </c>
      <c r="G355" s="26">
        <v>32314</v>
      </c>
      <c r="H355" t="s">
        <v>158</v>
      </c>
      <c r="I355" t="s">
        <v>195</v>
      </c>
    </row>
    <row r="356" spans="1:9" x14ac:dyDescent="0.3">
      <c r="A356">
        <v>40</v>
      </c>
      <c r="B356" t="s">
        <v>159</v>
      </c>
      <c r="C356" t="s">
        <v>327</v>
      </c>
      <c r="D356" t="s">
        <v>377</v>
      </c>
      <c r="E356" t="s">
        <v>142</v>
      </c>
      <c r="F356" t="s">
        <v>415</v>
      </c>
      <c r="G356" s="26">
        <v>32314</v>
      </c>
      <c r="H356" t="s">
        <v>655</v>
      </c>
    </row>
    <row r="357" spans="1:9" x14ac:dyDescent="0.3">
      <c r="A357">
        <v>40</v>
      </c>
      <c r="B357" t="s">
        <v>159</v>
      </c>
      <c r="C357" t="s">
        <v>327</v>
      </c>
      <c r="D357" t="s">
        <v>377</v>
      </c>
      <c r="E357" t="s">
        <v>142</v>
      </c>
      <c r="F357" t="s">
        <v>415</v>
      </c>
      <c r="G357" s="26" t="s">
        <v>658</v>
      </c>
    </row>
    <row r="358" spans="1:9" x14ac:dyDescent="0.3">
      <c r="A358">
        <v>40</v>
      </c>
      <c r="B358" t="s">
        <v>159</v>
      </c>
      <c r="C358" t="s">
        <v>327</v>
      </c>
      <c r="D358" t="s">
        <v>377</v>
      </c>
      <c r="E358" t="s">
        <v>142</v>
      </c>
      <c r="F358" t="s">
        <v>659</v>
      </c>
    </row>
    <row r="359" spans="1:9" x14ac:dyDescent="0.3">
      <c r="A359">
        <v>40</v>
      </c>
      <c r="B359" t="s">
        <v>159</v>
      </c>
      <c r="C359" t="s">
        <v>327</v>
      </c>
      <c r="D359" t="s">
        <v>377</v>
      </c>
      <c r="E359" t="s">
        <v>432</v>
      </c>
    </row>
    <row r="360" spans="1:9" x14ac:dyDescent="0.3">
      <c r="A360">
        <v>40</v>
      </c>
      <c r="B360" t="s">
        <v>159</v>
      </c>
      <c r="C360" t="s">
        <v>327</v>
      </c>
      <c r="D360" t="s">
        <v>551</v>
      </c>
    </row>
    <row r="361" spans="1:9" x14ac:dyDescent="0.3">
      <c r="A361">
        <v>40</v>
      </c>
      <c r="B361" t="s">
        <v>159</v>
      </c>
      <c r="C361" t="s">
        <v>552</v>
      </c>
    </row>
    <row r="362" spans="1:9" x14ac:dyDescent="0.3">
      <c r="A362">
        <v>40</v>
      </c>
      <c r="B362" t="s">
        <v>549</v>
      </c>
    </row>
    <row r="363" spans="1:9" x14ac:dyDescent="0.3">
      <c r="A363" t="s">
        <v>553</v>
      </c>
    </row>
    <row r="364" spans="1:9" x14ac:dyDescent="0.3">
      <c r="A364">
        <v>41</v>
      </c>
      <c r="B364" t="s">
        <v>159</v>
      </c>
      <c r="C364" t="s">
        <v>328</v>
      </c>
      <c r="D364" t="s">
        <v>378</v>
      </c>
      <c r="E364" t="s">
        <v>138</v>
      </c>
      <c r="F364" t="s">
        <v>416</v>
      </c>
      <c r="G364" s="26">
        <v>27076</v>
      </c>
      <c r="H364" t="s">
        <v>158</v>
      </c>
      <c r="I364" t="s">
        <v>202</v>
      </c>
    </row>
    <row r="365" spans="1:9" x14ac:dyDescent="0.3">
      <c r="A365">
        <v>41</v>
      </c>
      <c r="B365" t="s">
        <v>159</v>
      </c>
      <c r="C365" t="s">
        <v>328</v>
      </c>
      <c r="D365" t="s">
        <v>378</v>
      </c>
      <c r="E365" t="s">
        <v>138</v>
      </c>
      <c r="F365" t="s">
        <v>416</v>
      </c>
      <c r="G365" s="26">
        <v>27076</v>
      </c>
      <c r="H365" t="s">
        <v>655</v>
      </c>
    </row>
    <row r="366" spans="1:9" x14ac:dyDescent="0.3">
      <c r="A366">
        <v>41</v>
      </c>
      <c r="B366" t="s">
        <v>159</v>
      </c>
      <c r="C366" t="s">
        <v>328</v>
      </c>
      <c r="D366" t="s">
        <v>378</v>
      </c>
      <c r="E366" t="s">
        <v>138</v>
      </c>
      <c r="F366" t="s">
        <v>416</v>
      </c>
      <c r="G366" s="26" t="s">
        <v>660</v>
      </c>
    </row>
    <row r="367" spans="1:9" x14ac:dyDescent="0.3">
      <c r="A367">
        <v>41</v>
      </c>
      <c r="B367" t="s">
        <v>159</v>
      </c>
      <c r="C367" t="s">
        <v>328</v>
      </c>
      <c r="D367" t="s">
        <v>378</v>
      </c>
      <c r="E367" t="s">
        <v>138</v>
      </c>
      <c r="F367" t="s">
        <v>661</v>
      </c>
    </row>
    <row r="368" spans="1:9" x14ac:dyDescent="0.3">
      <c r="A368">
        <v>41</v>
      </c>
      <c r="B368" t="s">
        <v>159</v>
      </c>
      <c r="C368" t="s">
        <v>328</v>
      </c>
      <c r="D368" t="s">
        <v>378</v>
      </c>
      <c r="E368" t="s">
        <v>424</v>
      </c>
    </row>
    <row r="369" spans="1:9" x14ac:dyDescent="0.3">
      <c r="A369">
        <v>41</v>
      </c>
      <c r="B369" t="s">
        <v>159</v>
      </c>
      <c r="C369" t="s">
        <v>328</v>
      </c>
      <c r="D369" t="s">
        <v>554</v>
      </c>
    </row>
    <row r="370" spans="1:9" x14ac:dyDescent="0.3">
      <c r="A370">
        <v>41</v>
      </c>
      <c r="B370" t="s">
        <v>159</v>
      </c>
      <c r="C370" t="s">
        <v>555</v>
      </c>
    </row>
    <row r="371" spans="1:9" x14ac:dyDescent="0.3">
      <c r="A371">
        <v>41</v>
      </c>
      <c r="B371" t="s">
        <v>549</v>
      </c>
    </row>
    <row r="372" spans="1:9" x14ac:dyDescent="0.3">
      <c r="A372" t="s">
        <v>556</v>
      </c>
    </row>
    <row r="373" spans="1:9" x14ac:dyDescent="0.3">
      <c r="A373">
        <v>42</v>
      </c>
      <c r="B373" t="s">
        <v>161</v>
      </c>
      <c r="C373" t="s">
        <v>329</v>
      </c>
      <c r="D373" t="s">
        <v>379</v>
      </c>
      <c r="E373" t="s">
        <v>138</v>
      </c>
      <c r="F373" t="s">
        <v>417</v>
      </c>
      <c r="G373" s="26">
        <v>32941</v>
      </c>
      <c r="H373" t="s">
        <v>158</v>
      </c>
      <c r="I373" t="s">
        <v>203</v>
      </c>
    </row>
    <row r="374" spans="1:9" x14ac:dyDescent="0.3">
      <c r="A374">
        <v>42</v>
      </c>
      <c r="B374" t="s">
        <v>161</v>
      </c>
      <c r="C374" t="s">
        <v>329</v>
      </c>
      <c r="D374" t="s">
        <v>379</v>
      </c>
      <c r="E374" t="s">
        <v>138</v>
      </c>
      <c r="F374" t="s">
        <v>417</v>
      </c>
      <c r="G374" s="26">
        <v>32941</v>
      </c>
      <c r="H374" t="s">
        <v>655</v>
      </c>
    </row>
    <row r="375" spans="1:9" x14ac:dyDescent="0.3">
      <c r="A375">
        <v>42</v>
      </c>
      <c r="B375" t="s">
        <v>161</v>
      </c>
      <c r="C375" t="s">
        <v>329</v>
      </c>
      <c r="D375" t="s">
        <v>379</v>
      </c>
      <c r="E375" t="s">
        <v>138</v>
      </c>
      <c r="F375" t="s">
        <v>417</v>
      </c>
      <c r="G375" s="26" t="s">
        <v>662</v>
      </c>
    </row>
    <row r="376" spans="1:9" x14ac:dyDescent="0.3">
      <c r="A376">
        <v>42</v>
      </c>
      <c r="B376" t="s">
        <v>161</v>
      </c>
      <c r="C376" t="s">
        <v>329</v>
      </c>
      <c r="D376" t="s">
        <v>379</v>
      </c>
      <c r="E376" t="s">
        <v>138</v>
      </c>
      <c r="F376" t="s">
        <v>663</v>
      </c>
    </row>
    <row r="377" spans="1:9" x14ac:dyDescent="0.3">
      <c r="A377">
        <v>42</v>
      </c>
      <c r="B377" t="s">
        <v>161</v>
      </c>
      <c r="C377" t="s">
        <v>329</v>
      </c>
      <c r="D377" t="s">
        <v>379</v>
      </c>
      <c r="E377" t="s">
        <v>424</v>
      </c>
    </row>
    <row r="378" spans="1:9" x14ac:dyDescent="0.3">
      <c r="A378">
        <v>42</v>
      </c>
      <c r="B378" t="s">
        <v>161</v>
      </c>
      <c r="C378" t="s">
        <v>329</v>
      </c>
      <c r="D378" t="s">
        <v>557</v>
      </c>
    </row>
    <row r="379" spans="1:9" x14ac:dyDescent="0.3">
      <c r="A379">
        <v>42</v>
      </c>
      <c r="B379" t="s">
        <v>161</v>
      </c>
      <c r="C379" t="s">
        <v>558</v>
      </c>
    </row>
    <row r="380" spans="1:9" x14ac:dyDescent="0.3">
      <c r="A380">
        <v>42</v>
      </c>
      <c r="B380" t="s">
        <v>559</v>
      </c>
    </row>
    <row r="381" spans="1:9" x14ac:dyDescent="0.3">
      <c r="A381" t="s">
        <v>560</v>
      </c>
    </row>
    <row r="382" spans="1:9" x14ac:dyDescent="0.3">
      <c r="A382">
        <v>43</v>
      </c>
      <c r="B382" t="s">
        <v>161</v>
      </c>
      <c r="C382" t="s">
        <v>330</v>
      </c>
      <c r="D382" t="s">
        <v>380</v>
      </c>
      <c r="E382" t="s">
        <v>138</v>
      </c>
      <c r="F382" t="s">
        <v>418</v>
      </c>
      <c r="G382" s="26">
        <v>21927</v>
      </c>
      <c r="H382" t="s">
        <v>158</v>
      </c>
      <c r="I382" t="s">
        <v>196</v>
      </c>
    </row>
    <row r="383" spans="1:9" x14ac:dyDescent="0.3">
      <c r="A383">
        <v>43</v>
      </c>
      <c r="B383" t="s">
        <v>161</v>
      </c>
      <c r="C383" t="s">
        <v>330</v>
      </c>
      <c r="D383" t="s">
        <v>380</v>
      </c>
      <c r="E383" t="s">
        <v>138</v>
      </c>
      <c r="F383" t="s">
        <v>418</v>
      </c>
      <c r="G383" s="26">
        <v>21927</v>
      </c>
      <c r="H383" t="s">
        <v>655</v>
      </c>
    </row>
    <row r="384" spans="1:9" x14ac:dyDescent="0.3">
      <c r="A384">
        <v>43</v>
      </c>
      <c r="B384" t="s">
        <v>161</v>
      </c>
      <c r="C384" t="s">
        <v>330</v>
      </c>
      <c r="D384" t="s">
        <v>380</v>
      </c>
      <c r="E384" t="s">
        <v>138</v>
      </c>
      <c r="F384" t="s">
        <v>418</v>
      </c>
      <c r="G384" s="26" t="s">
        <v>664</v>
      </c>
    </row>
    <row r="385" spans="1:9" x14ac:dyDescent="0.3">
      <c r="A385">
        <v>43</v>
      </c>
      <c r="B385" t="s">
        <v>161</v>
      </c>
      <c r="C385" t="s">
        <v>330</v>
      </c>
      <c r="D385" t="s">
        <v>380</v>
      </c>
      <c r="E385" t="s">
        <v>138</v>
      </c>
      <c r="F385" t="s">
        <v>665</v>
      </c>
    </row>
    <row r="386" spans="1:9" x14ac:dyDescent="0.3">
      <c r="A386">
        <v>43</v>
      </c>
      <c r="B386" t="s">
        <v>161</v>
      </c>
      <c r="C386" t="s">
        <v>330</v>
      </c>
      <c r="D386" t="s">
        <v>380</v>
      </c>
      <c r="E386" t="s">
        <v>424</v>
      </c>
    </row>
    <row r="387" spans="1:9" x14ac:dyDescent="0.3">
      <c r="A387">
        <v>43</v>
      </c>
      <c r="B387" t="s">
        <v>161</v>
      </c>
      <c r="C387" t="s">
        <v>330</v>
      </c>
      <c r="D387" t="s">
        <v>561</v>
      </c>
    </row>
    <row r="388" spans="1:9" x14ac:dyDescent="0.3">
      <c r="A388">
        <v>43</v>
      </c>
      <c r="B388" t="s">
        <v>161</v>
      </c>
      <c r="C388" t="s">
        <v>562</v>
      </c>
    </row>
    <row r="389" spans="1:9" x14ac:dyDescent="0.3">
      <c r="A389">
        <v>43</v>
      </c>
      <c r="B389" t="s">
        <v>559</v>
      </c>
    </row>
    <row r="390" spans="1:9" x14ac:dyDescent="0.3">
      <c r="A390" t="s">
        <v>563</v>
      </c>
    </row>
    <row r="391" spans="1:9" x14ac:dyDescent="0.3">
      <c r="A391">
        <v>44</v>
      </c>
      <c r="B391" t="s">
        <v>161</v>
      </c>
      <c r="C391" t="s">
        <v>331</v>
      </c>
      <c r="D391" t="s">
        <v>381</v>
      </c>
      <c r="E391" t="s">
        <v>138</v>
      </c>
      <c r="F391" t="s">
        <v>400</v>
      </c>
      <c r="G391" s="26">
        <v>23952</v>
      </c>
      <c r="H391" t="s">
        <v>158</v>
      </c>
      <c r="I391" t="s">
        <v>202</v>
      </c>
    </row>
    <row r="392" spans="1:9" x14ac:dyDescent="0.3">
      <c r="A392">
        <v>44</v>
      </c>
      <c r="B392" t="s">
        <v>161</v>
      </c>
      <c r="C392" t="s">
        <v>331</v>
      </c>
      <c r="D392" t="s">
        <v>381</v>
      </c>
      <c r="E392" t="s">
        <v>138</v>
      </c>
      <c r="F392" t="s">
        <v>400</v>
      </c>
      <c r="G392" s="26">
        <v>23952</v>
      </c>
      <c r="H392" t="s">
        <v>655</v>
      </c>
    </row>
    <row r="393" spans="1:9" x14ac:dyDescent="0.3">
      <c r="A393">
        <v>44</v>
      </c>
      <c r="B393" t="s">
        <v>161</v>
      </c>
      <c r="C393" t="s">
        <v>331</v>
      </c>
      <c r="D393" t="s">
        <v>381</v>
      </c>
      <c r="E393" t="s">
        <v>138</v>
      </c>
      <c r="F393" t="s">
        <v>400</v>
      </c>
      <c r="G393" s="26" t="s">
        <v>666</v>
      </c>
    </row>
    <row r="394" spans="1:9" x14ac:dyDescent="0.3">
      <c r="A394">
        <v>44</v>
      </c>
      <c r="B394" t="s">
        <v>161</v>
      </c>
      <c r="C394" t="s">
        <v>331</v>
      </c>
      <c r="D394" t="s">
        <v>381</v>
      </c>
      <c r="E394" t="s">
        <v>138</v>
      </c>
      <c r="F394" t="s">
        <v>617</v>
      </c>
    </row>
    <row r="395" spans="1:9" x14ac:dyDescent="0.3">
      <c r="A395">
        <v>44</v>
      </c>
      <c r="B395" t="s">
        <v>161</v>
      </c>
      <c r="C395" t="s">
        <v>331</v>
      </c>
      <c r="D395" t="s">
        <v>381</v>
      </c>
      <c r="E395" t="s">
        <v>424</v>
      </c>
    </row>
    <row r="396" spans="1:9" x14ac:dyDescent="0.3">
      <c r="A396">
        <v>44</v>
      </c>
      <c r="B396" t="s">
        <v>161</v>
      </c>
      <c r="C396" t="s">
        <v>331</v>
      </c>
      <c r="D396" t="s">
        <v>564</v>
      </c>
    </row>
    <row r="397" spans="1:9" x14ac:dyDescent="0.3">
      <c r="A397">
        <v>44</v>
      </c>
      <c r="B397" t="s">
        <v>161</v>
      </c>
      <c r="C397" t="s">
        <v>565</v>
      </c>
    </row>
    <row r="398" spans="1:9" x14ac:dyDescent="0.3">
      <c r="A398">
        <v>44</v>
      </c>
      <c r="B398" t="s">
        <v>559</v>
      </c>
    </row>
    <row r="399" spans="1:9" x14ac:dyDescent="0.3">
      <c r="A399" t="s">
        <v>566</v>
      </c>
    </row>
    <row r="400" spans="1:9" x14ac:dyDescent="0.3">
      <c r="A400">
        <v>45</v>
      </c>
      <c r="B400" t="s">
        <v>164</v>
      </c>
      <c r="C400" t="s">
        <v>332</v>
      </c>
      <c r="D400" t="s">
        <v>382</v>
      </c>
      <c r="E400" t="s">
        <v>138</v>
      </c>
      <c r="F400" t="s">
        <v>418</v>
      </c>
      <c r="G400" s="26">
        <v>22044</v>
      </c>
      <c r="H400" t="s">
        <v>163</v>
      </c>
      <c r="I400" t="s">
        <v>204</v>
      </c>
    </row>
    <row r="401" spans="1:9" x14ac:dyDescent="0.3">
      <c r="A401">
        <v>45</v>
      </c>
      <c r="B401" t="s">
        <v>164</v>
      </c>
      <c r="C401" t="s">
        <v>332</v>
      </c>
      <c r="D401" t="s">
        <v>382</v>
      </c>
      <c r="E401" t="s">
        <v>138</v>
      </c>
      <c r="F401" t="s">
        <v>418</v>
      </c>
      <c r="G401" s="26">
        <v>22044</v>
      </c>
      <c r="H401" t="s">
        <v>667</v>
      </c>
    </row>
    <row r="402" spans="1:9" x14ac:dyDescent="0.3">
      <c r="A402">
        <v>45</v>
      </c>
      <c r="B402" t="s">
        <v>164</v>
      </c>
      <c r="C402" t="s">
        <v>332</v>
      </c>
      <c r="D402" t="s">
        <v>382</v>
      </c>
      <c r="E402" t="s">
        <v>138</v>
      </c>
      <c r="F402" t="s">
        <v>418</v>
      </c>
      <c r="G402" s="26" t="s">
        <v>668</v>
      </c>
    </row>
    <row r="403" spans="1:9" x14ac:dyDescent="0.3">
      <c r="A403">
        <v>45</v>
      </c>
      <c r="B403" t="s">
        <v>164</v>
      </c>
      <c r="C403" t="s">
        <v>332</v>
      </c>
      <c r="D403" t="s">
        <v>382</v>
      </c>
      <c r="E403" t="s">
        <v>138</v>
      </c>
      <c r="F403" t="s">
        <v>665</v>
      </c>
    </row>
    <row r="404" spans="1:9" x14ac:dyDescent="0.3">
      <c r="A404">
        <v>45</v>
      </c>
      <c r="B404" t="s">
        <v>164</v>
      </c>
      <c r="C404" t="s">
        <v>332</v>
      </c>
      <c r="D404" t="s">
        <v>382</v>
      </c>
      <c r="E404" t="s">
        <v>424</v>
      </c>
    </row>
    <row r="405" spans="1:9" x14ac:dyDescent="0.3">
      <c r="A405">
        <v>45</v>
      </c>
      <c r="B405" t="s">
        <v>164</v>
      </c>
      <c r="C405" t="s">
        <v>332</v>
      </c>
      <c r="D405" t="s">
        <v>567</v>
      </c>
    </row>
    <row r="406" spans="1:9" x14ac:dyDescent="0.3">
      <c r="A406">
        <v>45</v>
      </c>
      <c r="B406" t="s">
        <v>164</v>
      </c>
      <c r="C406" t="s">
        <v>568</v>
      </c>
    </row>
    <row r="407" spans="1:9" x14ac:dyDescent="0.3">
      <c r="A407">
        <v>45</v>
      </c>
      <c r="B407" t="s">
        <v>569</v>
      </c>
    </row>
    <row r="408" spans="1:9" x14ac:dyDescent="0.3">
      <c r="A408" t="s">
        <v>570</v>
      </c>
    </row>
    <row r="409" spans="1:9" x14ac:dyDescent="0.3">
      <c r="A409">
        <v>46</v>
      </c>
      <c r="B409" t="s">
        <v>164</v>
      </c>
      <c r="C409" t="s">
        <v>333</v>
      </c>
      <c r="D409" t="s">
        <v>383</v>
      </c>
      <c r="E409" t="s">
        <v>142</v>
      </c>
      <c r="F409" t="s">
        <v>419</v>
      </c>
      <c r="G409" s="26">
        <v>26940</v>
      </c>
      <c r="H409" t="s">
        <v>163</v>
      </c>
      <c r="I409" t="s">
        <v>195</v>
      </c>
    </row>
    <row r="410" spans="1:9" x14ac:dyDescent="0.3">
      <c r="A410">
        <v>46</v>
      </c>
      <c r="B410" t="s">
        <v>164</v>
      </c>
      <c r="C410" t="s">
        <v>333</v>
      </c>
      <c r="D410" t="s">
        <v>383</v>
      </c>
      <c r="E410" t="s">
        <v>142</v>
      </c>
      <c r="F410" t="s">
        <v>419</v>
      </c>
      <c r="G410" s="26">
        <v>26940</v>
      </c>
      <c r="H410" t="s">
        <v>667</v>
      </c>
    </row>
    <row r="411" spans="1:9" x14ac:dyDescent="0.3">
      <c r="A411">
        <v>46</v>
      </c>
      <c r="B411" t="s">
        <v>164</v>
      </c>
      <c r="C411" t="s">
        <v>333</v>
      </c>
      <c r="D411" t="s">
        <v>383</v>
      </c>
      <c r="E411" t="s">
        <v>142</v>
      </c>
      <c r="F411" t="s">
        <v>419</v>
      </c>
      <c r="G411" s="26" t="s">
        <v>669</v>
      </c>
    </row>
    <row r="412" spans="1:9" x14ac:dyDescent="0.3">
      <c r="A412">
        <v>46</v>
      </c>
      <c r="B412" t="s">
        <v>164</v>
      </c>
      <c r="C412" t="s">
        <v>333</v>
      </c>
      <c r="D412" t="s">
        <v>383</v>
      </c>
      <c r="E412" t="s">
        <v>142</v>
      </c>
      <c r="F412" t="s">
        <v>670</v>
      </c>
    </row>
    <row r="413" spans="1:9" x14ac:dyDescent="0.3">
      <c r="A413">
        <v>46</v>
      </c>
      <c r="B413" t="s">
        <v>164</v>
      </c>
      <c r="C413" t="s">
        <v>333</v>
      </c>
      <c r="D413" t="s">
        <v>383</v>
      </c>
      <c r="E413" t="s">
        <v>432</v>
      </c>
    </row>
    <row r="414" spans="1:9" x14ac:dyDescent="0.3">
      <c r="A414">
        <v>46</v>
      </c>
      <c r="B414" t="s">
        <v>164</v>
      </c>
      <c r="C414" t="s">
        <v>333</v>
      </c>
      <c r="D414" t="s">
        <v>571</v>
      </c>
    </row>
    <row r="415" spans="1:9" x14ac:dyDescent="0.3">
      <c r="A415">
        <v>46</v>
      </c>
      <c r="B415" t="s">
        <v>164</v>
      </c>
      <c r="C415" t="s">
        <v>572</v>
      </c>
    </row>
    <row r="416" spans="1:9" x14ac:dyDescent="0.3">
      <c r="A416">
        <v>46</v>
      </c>
      <c r="B416" t="s">
        <v>569</v>
      </c>
    </row>
    <row r="417" spans="1:9" x14ac:dyDescent="0.3">
      <c r="A417" t="s">
        <v>573</v>
      </c>
    </row>
    <row r="418" spans="1:9" x14ac:dyDescent="0.3">
      <c r="A418">
        <v>47</v>
      </c>
      <c r="B418" t="s">
        <v>164</v>
      </c>
      <c r="C418" t="s">
        <v>334</v>
      </c>
      <c r="D418" t="s">
        <v>384</v>
      </c>
      <c r="E418" t="s">
        <v>138</v>
      </c>
      <c r="F418" t="s">
        <v>420</v>
      </c>
      <c r="G418" s="26">
        <v>24936</v>
      </c>
      <c r="H418" t="s">
        <v>163</v>
      </c>
      <c r="I418" t="s">
        <v>195</v>
      </c>
    </row>
    <row r="419" spans="1:9" x14ac:dyDescent="0.3">
      <c r="A419">
        <v>47</v>
      </c>
      <c r="B419" t="s">
        <v>164</v>
      </c>
      <c r="C419" t="s">
        <v>334</v>
      </c>
      <c r="D419" t="s">
        <v>384</v>
      </c>
      <c r="E419" t="s">
        <v>138</v>
      </c>
      <c r="F419" t="s">
        <v>420</v>
      </c>
      <c r="G419" s="26">
        <v>24936</v>
      </c>
      <c r="H419" t="s">
        <v>667</v>
      </c>
    </row>
    <row r="420" spans="1:9" x14ac:dyDescent="0.3">
      <c r="A420">
        <v>47</v>
      </c>
      <c r="B420" t="s">
        <v>164</v>
      </c>
      <c r="C420" t="s">
        <v>334</v>
      </c>
      <c r="D420" t="s">
        <v>384</v>
      </c>
      <c r="E420" t="s">
        <v>138</v>
      </c>
      <c r="F420" t="s">
        <v>420</v>
      </c>
      <c r="G420" s="26" t="s">
        <v>671</v>
      </c>
    </row>
    <row r="421" spans="1:9" x14ac:dyDescent="0.3">
      <c r="A421">
        <v>47</v>
      </c>
      <c r="B421" t="s">
        <v>164</v>
      </c>
      <c r="C421" t="s">
        <v>334</v>
      </c>
      <c r="D421" t="s">
        <v>384</v>
      </c>
      <c r="E421" t="s">
        <v>138</v>
      </c>
      <c r="F421" t="s">
        <v>672</v>
      </c>
    </row>
    <row r="422" spans="1:9" x14ac:dyDescent="0.3">
      <c r="A422">
        <v>47</v>
      </c>
      <c r="B422" t="s">
        <v>164</v>
      </c>
      <c r="C422" t="s">
        <v>334</v>
      </c>
      <c r="D422" t="s">
        <v>384</v>
      </c>
      <c r="E422" t="s">
        <v>424</v>
      </c>
    </row>
    <row r="423" spans="1:9" x14ac:dyDescent="0.3">
      <c r="A423">
        <v>47</v>
      </c>
      <c r="B423" t="s">
        <v>164</v>
      </c>
      <c r="C423" t="s">
        <v>334</v>
      </c>
      <c r="D423" t="s">
        <v>574</v>
      </c>
    </row>
    <row r="424" spans="1:9" x14ac:dyDescent="0.3">
      <c r="A424">
        <v>47</v>
      </c>
      <c r="B424" t="s">
        <v>164</v>
      </c>
      <c r="C424" t="s">
        <v>575</v>
      </c>
    </row>
    <row r="425" spans="1:9" x14ac:dyDescent="0.3">
      <c r="A425">
        <v>47</v>
      </c>
      <c r="B425" t="s">
        <v>569</v>
      </c>
    </row>
    <row r="426" spans="1:9" x14ac:dyDescent="0.3">
      <c r="A426" t="s">
        <v>576</v>
      </c>
    </row>
    <row r="427" spans="1:9" x14ac:dyDescent="0.3">
      <c r="A427">
        <v>48</v>
      </c>
      <c r="B427" t="s">
        <v>167</v>
      </c>
      <c r="C427" t="s">
        <v>335</v>
      </c>
      <c r="D427" t="s">
        <v>385</v>
      </c>
      <c r="E427" t="s">
        <v>138</v>
      </c>
      <c r="F427" t="s">
        <v>388</v>
      </c>
      <c r="G427" s="26">
        <v>35567</v>
      </c>
      <c r="H427" t="s">
        <v>166</v>
      </c>
      <c r="I427" t="s">
        <v>177</v>
      </c>
    </row>
    <row r="428" spans="1:9" x14ac:dyDescent="0.3">
      <c r="A428">
        <v>48</v>
      </c>
      <c r="B428" t="s">
        <v>167</v>
      </c>
      <c r="C428" t="s">
        <v>335</v>
      </c>
      <c r="D428" t="s">
        <v>385</v>
      </c>
      <c r="E428" t="s">
        <v>138</v>
      </c>
      <c r="F428" t="s">
        <v>388</v>
      </c>
      <c r="G428" s="26">
        <v>35567</v>
      </c>
      <c r="H428" t="s">
        <v>673</v>
      </c>
    </row>
    <row r="429" spans="1:9" x14ac:dyDescent="0.3">
      <c r="A429">
        <v>48</v>
      </c>
      <c r="B429" t="s">
        <v>167</v>
      </c>
      <c r="C429" t="s">
        <v>335</v>
      </c>
      <c r="D429" t="s">
        <v>385</v>
      </c>
      <c r="E429" t="s">
        <v>138</v>
      </c>
      <c r="F429" t="s">
        <v>388</v>
      </c>
      <c r="G429" s="26" t="s">
        <v>674</v>
      </c>
    </row>
    <row r="430" spans="1:9" x14ac:dyDescent="0.3">
      <c r="A430">
        <v>48</v>
      </c>
      <c r="B430" t="s">
        <v>167</v>
      </c>
      <c r="C430" t="s">
        <v>335</v>
      </c>
      <c r="D430" t="s">
        <v>385</v>
      </c>
      <c r="E430" t="s">
        <v>138</v>
      </c>
      <c r="F430" t="s">
        <v>589</v>
      </c>
    </row>
    <row r="431" spans="1:9" x14ac:dyDescent="0.3">
      <c r="A431">
        <v>48</v>
      </c>
      <c r="B431" t="s">
        <v>167</v>
      </c>
      <c r="C431" t="s">
        <v>335</v>
      </c>
      <c r="D431" t="s">
        <v>385</v>
      </c>
      <c r="E431" t="s">
        <v>424</v>
      </c>
    </row>
    <row r="432" spans="1:9" x14ac:dyDescent="0.3">
      <c r="A432">
        <v>48</v>
      </c>
      <c r="B432" t="s">
        <v>167</v>
      </c>
      <c r="C432" t="s">
        <v>335</v>
      </c>
      <c r="D432" t="s">
        <v>577</v>
      </c>
    </row>
    <row r="433" spans="1:9" x14ac:dyDescent="0.3">
      <c r="A433">
        <v>48</v>
      </c>
      <c r="B433" t="s">
        <v>167</v>
      </c>
      <c r="C433" t="s">
        <v>578</v>
      </c>
    </row>
    <row r="434" spans="1:9" x14ac:dyDescent="0.3">
      <c r="A434">
        <v>48</v>
      </c>
      <c r="B434" t="s">
        <v>579</v>
      </c>
    </row>
    <row r="435" spans="1:9" x14ac:dyDescent="0.3">
      <c r="A435" t="s">
        <v>580</v>
      </c>
    </row>
    <row r="436" spans="1:9" x14ac:dyDescent="0.3">
      <c r="A436">
        <v>49</v>
      </c>
      <c r="B436" t="s">
        <v>167</v>
      </c>
      <c r="C436" t="s">
        <v>336</v>
      </c>
      <c r="D436" t="s">
        <v>386</v>
      </c>
      <c r="E436" t="s">
        <v>142</v>
      </c>
      <c r="F436" t="s">
        <v>421</v>
      </c>
      <c r="G436" s="26">
        <v>31832</v>
      </c>
      <c r="H436" t="s">
        <v>166</v>
      </c>
      <c r="I436" t="s">
        <v>205</v>
      </c>
    </row>
    <row r="437" spans="1:9" x14ac:dyDescent="0.3">
      <c r="A437">
        <v>49</v>
      </c>
      <c r="B437" t="s">
        <v>167</v>
      </c>
      <c r="C437" t="s">
        <v>336</v>
      </c>
      <c r="D437" t="s">
        <v>386</v>
      </c>
      <c r="E437" t="s">
        <v>142</v>
      </c>
      <c r="F437" t="s">
        <v>421</v>
      </c>
      <c r="G437" s="26">
        <v>31832</v>
      </c>
      <c r="H437" t="s">
        <v>673</v>
      </c>
    </row>
    <row r="438" spans="1:9" x14ac:dyDescent="0.3">
      <c r="A438">
        <v>49</v>
      </c>
      <c r="B438" t="s">
        <v>167</v>
      </c>
      <c r="C438" t="s">
        <v>336</v>
      </c>
      <c r="D438" t="s">
        <v>386</v>
      </c>
      <c r="E438" t="s">
        <v>142</v>
      </c>
      <c r="F438" t="s">
        <v>421</v>
      </c>
      <c r="G438" s="26" t="s">
        <v>675</v>
      </c>
    </row>
    <row r="439" spans="1:9" x14ac:dyDescent="0.3">
      <c r="A439">
        <v>49</v>
      </c>
      <c r="B439" t="s">
        <v>167</v>
      </c>
      <c r="C439" t="s">
        <v>336</v>
      </c>
      <c r="D439" t="s">
        <v>386</v>
      </c>
      <c r="E439" t="s">
        <v>142</v>
      </c>
      <c r="F439" t="s">
        <v>676</v>
      </c>
    </row>
    <row r="440" spans="1:9" x14ac:dyDescent="0.3">
      <c r="A440">
        <v>49</v>
      </c>
      <c r="B440" t="s">
        <v>167</v>
      </c>
      <c r="C440" t="s">
        <v>336</v>
      </c>
      <c r="D440" t="s">
        <v>386</v>
      </c>
      <c r="E440" t="s">
        <v>432</v>
      </c>
    </row>
    <row r="441" spans="1:9" x14ac:dyDescent="0.3">
      <c r="A441">
        <v>49</v>
      </c>
      <c r="B441" t="s">
        <v>167</v>
      </c>
      <c r="C441" t="s">
        <v>336</v>
      </c>
      <c r="D441" t="s">
        <v>581</v>
      </c>
    </row>
    <row r="442" spans="1:9" x14ac:dyDescent="0.3">
      <c r="A442">
        <v>49</v>
      </c>
      <c r="B442" t="s">
        <v>167</v>
      </c>
      <c r="C442" t="s">
        <v>582</v>
      </c>
    </row>
    <row r="443" spans="1:9" x14ac:dyDescent="0.3">
      <c r="A443">
        <v>49</v>
      </c>
      <c r="B443" t="s">
        <v>579</v>
      </c>
    </row>
    <row r="444" spans="1:9" x14ac:dyDescent="0.3">
      <c r="A444" t="s">
        <v>583</v>
      </c>
    </row>
    <row r="445" spans="1:9" x14ac:dyDescent="0.3">
      <c r="A445">
        <v>50</v>
      </c>
      <c r="B445" t="s">
        <v>144</v>
      </c>
      <c r="C445" t="s">
        <v>337</v>
      </c>
      <c r="D445" t="s">
        <v>387</v>
      </c>
      <c r="E445" t="s">
        <v>142</v>
      </c>
      <c r="F445" t="s">
        <v>422</v>
      </c>
      <c r="G445" s="26">
        <v>34178</v>
      </c>
      <c r="H445" t="s">
        <v>143</v>
      </c>
      <c r="I445" t="s">
        <v>206</v>
      </c>
    </row>
    <row r="446" spans="1:9" x14ac:dyDescent="0.3">
      <c r="A446">
        <v>50</v>
      </c>
      <c r="B446" t="s">
        <v>144</v>
      </c>
      <c r="C446" t="s">
        <v>337</v>
      </c>
      <c r="D446" t="s">
        <v>387</v>
      </c>
      <c r="E446" t="s">
        <v>142</v>
      </c>
      <c r="F446" t="s">
        <v>422</v>
      </c>
      <c r="G446" s="26">
        <v>34178</v>
      </c>
      <c r="H446" t="s">
        <v>592</v>
      </c>
    </row>
    <row r="447" spans="1:9" x14ac:dyDescent="0.3">
      <c r="A447">
        <v>50</v>
      </c>
      <c r="B447" t="s">
        <v>144</v>
      </c>
      <c r="C447" t="s">
        <v>337</v>
      </c>
      <c r="D447" t="s">
        <v>387</v>
      </c>
      <c r="E447" t="s">
        <v>142</v>
      </c>
      <c r="F447" t="s">
        <v>422</v>
      </c>
      <c r="G447" s="26" t="s">
        <v>677</v>
      </c>
    </row>
    <row r="448" spans="1:9" x14ac:dyDescent="0.3">
      <c r="A448">
        <v>50</v>
      </c>
      <c r="B448" t="s">
        <v>144</v>
      </c>
      <c r="C448" t="s">
        <v>337</v>
      </c>
      <c r="D448" t="s">
        <v>387</v>
      </c>
      <c r="E448" t="s">
        <v>142</v>
      </c>
      <c r="F448" t="s">
        <v>678</v>
      </c>
    </row>
    <row r="449" spans="1:5" x14ac:dyDescent="0.3">
      <c r="A449">
        <v>50</v>
      </c>
      <c r="B449" t="s">
        <v>144</v>
      </c>
      <c r="C449" t="s">
        <v>337</v>
      </c>
      <c r="D449" t="s">
        <v>387</v>
      </c>
      <c r="E449" t="s">
        <v>432</v>
      </c>
    </row>
    <row r="450" spans="1:5" x14ac:dyDescent="0.3">
      <c r="A450">
        <v>50</v>
      </c>
      <c r="B450" t="s">
        <v>144</v>
      </c>
      <c r="C450" t="s">
        <v>337</v>
      </c>
      <c r="D450" t="s">
        <v>584</v>
      </c>
    </row>
    <row r="451" spans="1:5" x14ac:dyDescent="0.3">
      <c r="A451">
        <v>50</v>
      </c>
      <c r="B451" t="s">
        <v>144</v>
      </c>
      <c r="C451" t="s">
        <v>585</v>
      </c>
    </row>
    <row r="452" spans="1:5" x14ac:dyDescent="0.3">
      <c r="A452">
        <v>50</v>
      </c>
      <c r="B452" t="s">
        <v>435</v>
      </c>
    </row>
    <row r="453" spans="1:5" x14ac:dyDescent="0.3">
      <c r="A453" t="s">
        <v>586</v>
      </c>
    </row>
    <row r="454" spans="1:5" x14ac:dyDescent="0.3">
      <c r="A454" t="s">
        <v>287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1092-26DE-45B2-92EB-F750E9754846}">
  <sheetPr>
    <tabColor theme="9" tint="-0.499984740745262"/>
  </sheetPr>
  <dimension ref="A1:S51"/>
  <sheetViews>
    <sheetView workbookViewId="0">
      <pane xSplit="1" ySplit="1" topLeftCell="G21" activePane="bottomRight" state="frozen"/>
      <selection pane="topRight" activeCell="B1" sqref="B1"/>
      <selection pane="bottomLeft" activeCell="A2" sqref="A2"/>
      <selection pane="bottomRight" sqref="A1:S51"/>
    </sheetView>
  </sheetViews>
  <sheetFormatPr defaultRowHeight="14.4" x14ac:dyDescent="0.3"/>
  <cols>
    <col min="1" max="1" width="9.88671875" bestFit="1" customWidth="1"/>
    <col min="2" max="2" width="26" customWidth="1"/>
    <col min="3" max="3" width="8" customWidth="1"/>
    <col min="4" max="4" width="12" customWidth="1"/>
    <col min="5" max="5" width="11.88671875" bestFit="1" customWidth="1"/>
    <col min="6" max="6" width="13.88671875" bestFit="1" customWidth="1"/>
    <col min="7" max="7" width="15.5546875" style="26" customWidth="1"/>
    <col min="8" max="8" width="13.44140625" customWidth="1"/>
    <col min="9" max="9" width="9.109375" customWidth="1"/>
    <col min="10" max="10" width="12.88671875" bestFit="1" customWidth="1"/>
    <col min="11" max="11" width="15.5546875" customWidth="1"/>
    <col min="12" max="12" width="13.88671875" customWidth="1"/>
    <col min="13" max="13" width="26.88671875" customWidth="1"/>
    <col min="14" max="14" width="11.6640625" bestFit="1" customWidth="1"/>
    <col min="15" max="15" width="10.44140625" customWidth="1"/>
    <col min="16" max="16" width="10.33203125" bestFit="1" customWidth="1"/>
    <col min="17" max="17" width="16" customWidth="1"/>
    <col min="18" max="18" width="24" bestFit="1" customWidth="1"/>
    <col min="19" max="19" width="10.88671875" customWidth="1"/>
  </cols>
  <sheetData>
    <row r="1" spans="1:19" s="1" customFormat="1" x14ac:dyDescent="0.3">
      <c r="A1" s="6" t="s">
        <v>222</v>
      </c>
      <c r="B1" s="7" t="s">
        <v>221</v>
      </c>
      <c r="C1" s="6" t="s">
        <v>0</v>
      </c>
      <c r="D1" s="6" t="s">
        <v>1</v>
      </c>
      <c r="E1" s="6" t="s">
        <v>2</v>
      </c>
      <c r="F1" s="6" t="s">
        <v>3</v>
      </c>
      <c r="G1" s="24" t="s">
        <v>4</v>
      </c>
      <c r="H1" s="6" t="s">
        <v>5</v>
      </c>
      <c r="I1" s="6" t="s">
        <v>170</v>
      </c>
      <c r="J1" s="6" t="s">
        <v>137</v>
      </c>
      <c r="K1" s="6" t="s">
        <v>228</v>
      </c>
      <c r="L1" s="6" t="s">
        <v>136</v>
      </c>
      <c r="M1" s="6" t="s">
        <v>233</v>
      </c>
      <c r="N1" s="8" t="s">
        <v>246</v>
      </c>
      <c r="O1" s="6" t="s">
        <v>207</v>
      </c>
      <c r="P1" s="6" t="s">
        <v>208</v>
      </c>
      <c r="Q1" s="6" t="s">
        <v>238</v>
      </c>
      <c r="R1" s="6" t="s">
        <v>172</v>
      </c>
      <c r="S1" s="6" t="s">
        <v>239</v>
      </c>
    </row>
    <row r="2" spans="1:19" x14ac:dyDescent="0.3">
      <c r="A2" s="46">
        <v>1</v>
      </c>
      <c r="B2" s="3" t="str">
        <f>UPPER(_xlfn.CONCAT(C2&amp;" "&amp;D2&amp;" "&amp;F2))</f>
        <v>MS. ANNIE ABBOTT</v>
      </c>
      <c r="C2" s="3" t="s">
        <v>6</v>
      </c>
      <c r="D2" s="3" t="s">
        <v>7</v>
      </c>
      <c r="E2" s="3"/>
      <c r="F2" s="3" t="s">
        <v>8</v>
      </c>
      <c r="G2" s="25">
        <v>35699</v>
      </c>
      <c r="H2" s="3" t="s">
        <v>9</v>
      </c>
      <c r="I2" s="3" t="s">
        <v>138</v>
      </c>
      <c r="J2" s="5" t="s">
        <v>141</v>
      </c>
      <c r="K2" s="5" t="str">
        <f>HLOOKUP($J2,LOCATION!$A$2:$M$3,2,FALSE)</f>
        <v>USA</v>
      </c>
      <c r="L2" s="5" t="str">
        <f>_xlfn.XLOOKUP($J2,LOCATION!$A$2:$M$2,LOCATION!$A$1:$M$1)</f>
        <v>English</v>
      </c>
      <c r="M2" s="5" t="str">
        <f>LOWER(IF($L2="English",$F2&amp;"."&amp;$D2&amp;"@xyz.org",$F2&amp;"."&amp;$D2&amp;"@xyz.com"))</f>
        <v>abbott.annie@xyz.org</v>
      </c>
      <c r="N2" s="4">
        <v>94</v>
      </c>
      <c r="O2" s="3" t="s">
        <v>209</v>
      </c>
      <c r="P2" s="3" t="s">
        <v>210</v>
      </c>
      <c r="Q2" s="3" t="str">
        <f>_xlfn.XLOOKUP($R2,SPORT!$B$1:$B$33,SPORT!$A$1:$A$33)</f>
        <v>INDOOR</v>
      </c>
      <c r="R2" s="3" t="s">
        <v>174</v>
      </c>
      <c r="S2" s="2">
        <v>80727</v>
      </c>
    </row>
    <row r="3" spans="1:19" x14ac:dyDescent="0.3">
      <c r="A3" s="46">
        <v>2</v>
      </c>
      <c r="B3" s="3" t="str">
        <f t="shared" ref="B3:B51" si="0">UPPER(_xlfn.CONCAT(C3&amp;" "&amp;D3&amp;" "&amp;F3))</f>
        <v>MS. AURELIE LIESUCHKE</v>
      </c>
      <c r="C3" s="2" t="s">
        <v>6</v>
      </c>
      <c r="D3" s="2" t="s">
        <v>10</v>
      </c>
      <c r="E3" s="2"/>
      <c r="F3" s="2" t="s">
        <v>11</v>
      </c>
      <c r="G3" s="25">
        <v>33641</v>
      </c>
      <c r="H3" s="2" t="s">
        <v>12</v>
      </c>
      <c r="I3" s="2" t="s">
        <v>138</v>
      </c>
      <c r="J3" s="5" t="s">
        <v>141</v>
      </c>
      <c r="K3" s="5" t="str">
        <f>HLOOKUP($J3,LOCATION!$A$2:$M$3,2,FALSE)</f>
        <v>USA</v>
      </c>
      <c r="L3" s="5" t="str">
        <f>_xlfn.XLOOKUP($J3,LOCATION!$A$2:$M$2,LOCATION!$A$1:$M$1)</f>
        <v>English</v>
      </c>
      <c r="M3" s="5" t="str">
        <f t="shared" ref="M3:M51" si="1">LOWER(IF($L3="English",$F3&amp;"."&amp;$D3&amp;"@xyz.org",$F3&amp;"."&amp;$D3&amp;"@xyz.com"))</f>
        <v>liesuchke.aurelie@xyz.org</v>
      </c>
      <c r="N3" s="4">
        <v>84.2</v>
      </c>
      <c r="O3" s="2" t="s">
        <v>211</v>
      </c>
      <c r="P3" s="2" t="s">
        <v>212</v>
      </c>
      <c r="Q3" s="3" t="str">
        <f>_xlfn.XLOOKUP($R3,SPORT!$B$1:$B$33,SPORT!$A$1:$A$33)</f>
        <v>INDOOR</v>
      </c>
      <c r="R3" s="2" t="s">
        <v>175</v>
      </c>
      <c r="S3" s="2">
        <v>87471</v>
      </c>
    </row>
    <row r="4" spans="1:19" x14ac:dyDescent="0.3">
      <c r="A4" s="46">
        <v>3</v>
      </c>
      <c r="B4" s="3" t="str">
        <f t="shared" si="0"/>
        <v>SR. TOMAS FILHO</v>
      </c>
      <c r="C4" s="2" t="s">
        <v>13</v>
      </c>
      <c r="D4" s="2" t="s">
        <v>14</v>
      </c>
      <c r="E4" s="2" t="s">
        <v>15</v>
      </c>
      <c r="F4" s="2" t="s">
        <v>16</v>
      </c>
      <c r="G4" s="25">
        <v>25394</v>
      </c>
      <c r="H4" s="2" t="s">
        <v>17</v>
      </c>
      <c r="I4" s="2" t="s">
        <v>142</v>
      </c>
      <c r="J4" s="5" t="s">
        <v>145</v>
      </c>
      <c r="K4" s="5" t="str">
        <f>HLOOKUP($J4,LOCATION!$A$2:$M$3,2,FALSE)</f>
        <v>BRAZIL</v>
      </c>
      <c r="L4" s="5" t="str">
        <f>_xlfn.XLOOKUP($J4,LOCATION!$A$2:$M$2,LOCATION!$A$1:$M$1)</f>
        <v>Portuguese</v>
      </c>
      <c r="M4" s="5" t="str">
        <f t="shared" si="1"/>
        <v>filho.tomas@xyz.com</v>
      </c>
      <c r="N4" s="4">
        <v>52.9</v>
      </c>
      <c r="O4" s="2" t="s">
        <v>213</v>
      </c>
      <c r="P4" s="2" t="s">
        <v>210</v>
      </c>
      <c r="Q4" s="3" t="str">
        <f>_xlfn.XLOOKUP($R4,SPORT!$B$1:$B$33,SPORT!$A$1:$A$33)</f>
        <v>OUTDOOR</v>
      </c>
      <c r="R4" s="2" t="s">
        <v>177</v>
      </c>
      <c r="S4" s="2">
        <v>64724</v>
      </c>
    </row>
    <row r="5" spans="1:19" x14ac:dyDescent="0.3">
      <c r="A5" s="46">
        <v>4</v>
      </c>
      <c r="B5" s="3" t="str">
        <f t="shared" si="0"/>
        <v>MS. DARBY CRUICKSHANK</v>
      </c>
      <c r="C5" s="2" t="s">
        <v>6</v>
      </c>
      <c r="D5" s="2" t="s">
        <v>18</v>
      </c>
      <c r="E5" s="2"/>
      <c r="F5" s="2" t="s">
        <v>19</v>
      </c>
      <c r="G5" s="25">
        <v>27532</v>
      </c>
      <c r="H5" s="2" t="s">
        <v>20</v>
      </c>
      <c r="I5" s="2" t="s">
        <v>138</v>
      </c>
      <c r="J5" s="5" t="s">
        <v>141</v>
      </c>
      <c r="K5" s="5" t="str">
        <f>HLOOKUP($J5,LOCATION!$A$2:$M$3,2,FALSE)</f>
        <v>USA</v>
      </c>
      <c r="L5" s="5" t="str">
        <f>_xlfn.XLOOKUP($J5,LOCATION!$A$2:$M$2,LOCATION!$A$1:$M$1)</f>
        <v>English</v>
      </c>
      <c r="M5" s="5" t="str">
        <f t="shared" si="1"/>
        <v>cruickshank.darby@xyz.org</v>
      </c>
      <c r="N5" s="4">
        <v>48.9</v>
      </c>
      <c r="O5" s="2" t="s">
        <v>209</v>
      </c>
      <c r="P5" s="2" t="s">
        <v>212</v>
      </c>
      <c r="Q5" s="3" t="str">
        <f>_xlfn.XLOOKUP($R5,SPORT!$B$1:$B$33,SPORT!$A$1:$A$33)</f>
        <v>OUTDOOR</v>
      </c>
      <c r="R5" s="2" t="s">
        <v>178</v>
      </c>
      <c r="S5" s="2">
        <v>110823</v>
      </c>
    </row>
    <row r="6" spans="1:19" x14ac:dyDescent="0.3">
      <c r="A6" s="46">
        <v>5</v>
      </c>
      <c r="B6" s="3" t="str">
        <f t="shared" si="0"/>
        <v>DR. JAYDON BORER</v>
      </c>
      <c r="C6" s="2" t="s">
        <v>21</v>
      </c>
      <c r="D6" s="2" t="s">
        <v>22</v>
      </c>
      <c r="E6" s="2"/>
      <c r="F6" s="2" t="s">
        <v>23</v>
      </c>
      <c r="G6" s="25">
        <v>25706</v>
      </c>
      <c r="H6" s="2" t="s">
        <v>20</v>
      </c>
      <c r="I6" s="2" t="s">
        <v>142</v>
      </c>
      <c r="J6" s="5" t="s">
        <v>141</v>
      </c>
      <c r="K6" s="5" t="str">
        <f>HLOOKUP($J6,LOCATION!$A$2:$M$3,2,FALSE)</f>
        <v>USA</v>
      </c>
      <c r="L6" s="5" t="str">
        <f>_xlfn.XLOOKUP($J6,LOCATION!$A$2:$M$2,LOCATION!$A$1:$M$1)</f>
        <v>English</v>
      </c>
      <c r="M6" s="5" t="str">
        <f t="shared" si="1"/>
        <v>borer.jaydon@xyz.org</v>
      </c>
      <c r="N6" s="4">
        <v>84.8</v>
      </c>
      <c r="O6" s="2" t="s">
        <v>214</v>
      </c>
      <c r="P6" s="2" t="s">
        <v>215</v>
      </c>
      <c r="Q6" s="3" t="str">
        <f>_xlfn.XLOOKUP($R6,SPORT!$B$1:$B$33,SPORT!$A$1:$A$33)</f>
        <v>INDOOR</v>
      </c>
      <c r="R6" s="2" t="s">
        <v>179</v>
      </c>
      <c r="S6" s="2">
        <v>56916</v>
      </c>
    </row>
    <row r="7" spans="1:19" x14ac:dyDescent="0.3">
      <c r="A7" s="46">
        <v>6</v>
      </c>
      <c r="B7" s="3" t="str">
        <f t="shared" si="0"/>
        <v>MR. MORIAH  LYNCH</v>
      </c>
      <c r="C7" s="2" t="s">
        <v>24</v>
      </c>
      <c r="D7" s="2" t="s">
        <v>25</v>
      </c>
      <c r="E7" s="2"/>
      <c r="F7" s="2" t="s">
        <v>26</v>
      </c>
      <c r="G7" s="25">
        <v>33944</v>
      </c>
      <c r="H7" s="2" t="s">
        <v>27</v>
      </c>
      <c r="I7" s="2" t="s">
        <v>142</v>
      </c>
      <c r="J7" s="5" t="s">
        <v>141</v>
      </c>
      <c r="K7" s="5" t="str">
        <f>HLOOKUP($J7,LOCATION!$A$2:$M$3,2,FALSE)</f>
        <v>USA</v>
      </c>
      <c r="L7" s="5" t="str">
        <f>_xlfn.XLOOKUP($J7,LOCATION!$A$2:$M$2,LOCATION!$A$1:$M$1)</f>
        <v>English</v>
      </c>
      <c r="M7" s="5" t="str">
        <f t="shared" si="1"/>
        <v>lynch.moriah @xyz.org</v>
      </c>
      <c r="N7" s="4">
        <v>83.2</v>
      </c>
      <c r="O7" s="2" t="s">
        <v>214</v>
      </c>
      <c r="P7" s="2" t="s">
        <v>212</v>
      </c>
      <c r="Q7" s="3" t="str">
        <f>_xlfn.XLOOKUP($R7,SPORT!$B$1:$B$33,SPORT!$A$1:$A$33)</f>
        <v>INDOOR</v>
      </c>
      <c r="R7" s="2" t="s">
        <v>180</v>
      </c>
      <c r="S7" s="2">
        <v>51133</v>
      </c>
    </row>
    <row r="8" spans="1:19" x14ac:dyDescent="0.3">
      <c r="A8" s="46">
        <v>7</v>
      </c>
      <c r="B8" s="3" t="str">
        <f t="shared" si="0"/>
        <v>MS. AMIYA EICHMANN</v>
      </c>
      <c r="C8" s="2" t="s">
        <v>6</v>
      </c>
      <c r="D8" s="2" t="s">
        <v>28</v>
      </c>
      <c r="E8" s="2"/>
      <c r="F8" s="2" t="s">
        <v>29</v>
      </c>
      <c r="G8" s="25">
        <v>36370</v>
      </c>
      <c r="H8" s="2" t="s">
        <v>30</v>
      </c>
      <c r="I8" s="2" t="s">
        <v>138</v>
      </c>
      <c r="J8" s="5" t="s">
        <v>141</v>
      </c>
      <c r="K8" s="5" t="str">
        <f>HLOOKUP($J8,LOCATION!$A$2:$M$3,2,FALSE)</f>
        <v>USA</v>
      </c>
      <c r="L8" s="5" t="str">
        <f>_xlfn.XLOOKUP($J8,LOCATION!$A$2:$M$2,LOCATION!$A$1:$M$1)</f>
        <v>English</v>
      </c>
      <c r="M8" s="5" t="str">
        <f t="shared" si="1"/>
        <v>eichmann.amiya@xyz.org</v>
      </c>
      <c r="N8" s="4">
        <v>61.1</v>
      </c>
      <c r="O8" s="2" t="s">
        <v>214</v>
      </c>
      <c r="P8" s="2" t="s">
        <v>215</v>
      </c>
      <c r="Q8" s="3" t="str">
        <f>_xlfn.XLOOKUP($R8,SPORT!$B$1:$B$33,SPORT!$A$1:$A$33)</f>
        <v>OUTDOOR</v>
      </c>
      <c r="R8" s="2" t="s">
        <v>181</v>
      </c>
      <c r="S8" s="2">
        <v>65465</v>
      </c>
    </row>
    <row r="9" spans="1:19" x14ac:dyDescent="0.3">
      <c r="A9" s="46">
        <v>8</v>
      </c>
      <c r="B9" s="3" t="str">
        <f t="shared" si="0"/>
        <v>MR. PIERCE RAU</v>
      </c>
      <c r="C9" s="2" t="s">
        <v>24</v>
      </c>
      <c r="D9" s="2" t="s">
        <v>31</v>
      </c>
      <c r="E9" s="2"/>
      <c r="F9" s="2" t="s">
        <v>32</v>
      </c>
      <c r="G9" s="25">
        <v>23141</v>
      </c>
      <c r="H9" s="2" t="s">
        <v>20</v>
      </c>
      <c r="I9" s="2" t="s">
        <v>142</v>
      </c>
      <c r="J9" s="5" t="s">
        <v>141</v>
      </c>
      <c r="K9" s="5" t="str">
        <f>HLOOKUP($J9,LOCATION!$A$2:$M$3,2,FALSE)</f>
        <v>USA</v>
      </c>
      <c r="L9" s="5" t="str">
        <f>_xlfn.XLOOKUP($J9,LOCATION!$A$2:$M$2,LOCATION!$A$1:$M$1)</f>
        <v>English</v>
      </c>
      <c r="M9" s="5" t="str">
        <f t="shared" si="1"/>
        <v>rau.pierce@xyz.org</v>
      </c>
      <c r="N9" s="4">
        <v>105.7</v>
      </c>
      <c r="O9" s="2" t="s">
        <v>213</v>
      </c>
      <c r="P9" s="2" t="s">
        <v>216</v>
      </c>
      <c r="Q9" s="3" t="str">
        <f>_xlfn.XLOOKUP($R9,SPORT!$B$1:$B$33,SPORT!$A$1:$A$33)</f>
        <v>INDOOR</v>
      </c>
      <c r="R9" s="2" t="s">
        <v>182</v>
      </c>
      <c r="S9" s="2">
        <v>109885</v>
      </c>
    </row>
    <row r="10" spans="1:19" x14ac:dyDescent="0.3">
      <c r="A10" s="46">
        <v>9</v>
      </c>
      <c r="B10" s="3" t="str">
        <f t="shared" si="0"/>
        <v>MS. AMELIA STEVENS</v>
      </c>
      <c r="C10" s="2" t="s">
        <v>6</v>
      </c>
      <c r="D10" s="2" t="s">
        <v>33</v>
      </c>
      <c r="E10" s="2"/>
      <c r="F10" s="2" t="s">
        <v>34</v>
      </c>
      <c r="G10" s="25">
        <v>25965</v>
      </c>
      <c r="H10" s="2" t="s">
        <v>12</v>
      </c>
      <c r="I10" s="2" t="s">
        <v>138</v>
      </c>
      <c r="J10" s="5" t="s">
        <v>147</v>
      </c>
      <c r="K10" s="5" t="str">
        <f>HLOOKUP($J10,LOCATION!$A$2:$M$3,2,FALSE)</f>
        <v>UK</v>
      </c>
      <c r="L10" s="5" t="str">
        <f>_xlfn.XLOOKUP($J10,LOCATION!$A$2:$M$2,LOCATION!$A$1:$M$1)</f>
        <v>English</v>
      </c>
      <c r="M10" s="5" t="str">
        <f t="shared" si="1"/>
        <v>stevens.amelia@xyz.org</v>
      </c>
      <c r="N10" s="4">
        <v>65.3</v>
      </c>
      <c r="O10" s="2" t="s">
        <v>214</v>
      </c>
      <c r="P10" s="2" t="s">
        <v>216</v>
      </c>
      <c r="Q10" s="3" t="str">
        <f>_xlfn.XLOOKUP($R10,SPORT!$B$1:$B$33,SPORT!$A$1:$A$33)</f>
        <v>INDOOR</v>
      </c>
      <c r="R10" s="2" t="s">
        <v>183</v>
      </c>
      <c r="S10" s="2">
        <v>60061</v>
      </c>
    </row>
    <row r="11" spans="1:19" x14ac:dyDescent="0.3">
      <c r="A11" s="46">
        <v>10</v>
      </c>
      <c r="B11" s="3" t="str">
        <f t="shared" si="0"/>
        <v>MR. TOBY SIMPSON</v>
      </c>
      <c r="C11" s="2" t="s">
        <v>24</v>
      </c>
      <c r="D11" s="2" t="s">
        <v>35</v>
      </c>
      <c r="E11" s="2"/>
      <c r="F11" s="2" t="s">
        <v>36</v>
      </c>
      <c r="G11" s="25">
        <v>23732</v>
      </c>
      <c r="H11" s="2" t="s">
        <v>27</v>
      </c>
      <c r="I11" s="2" t="s">
        <v>142</v>
      </c>
      <c r="J11" s="5" t="s">
        <v>147</v>
      </c>
      <c r="K11" s="5" t="str">
        <f>HLOOKUP($J11,LOCATION!$A$2:$M$3,2,FALSE)</f>
        <v>UK</v>
      </c>
      <c r="L11" s="5" t="str">
        <f>_xlfn.XLOOKUP($J11,LOCATION!$A$2:$M$2,LOCATION!$A$1:$M$1)</f>
        <v>English</v>
      </c>
      <c r="M11" s="5" t="str">
        <f t="shared" si="1"/>
        <v>simpson.toby@xyz.org</v>
      </c>
      <c r="N11" s="4">
        <v>62.9</v>
      </c>
      <c r="O11" s="2" t="s">
        <v>213</v>
      </c>
      <c r="P11" s="2" t="s">
        <v>217</v>
      </c>
      <c r="Q11" s="3" t="str">
        <f>_xlfn.XLOOKUP($R11,SPORT!$B$1:$B$33,SPORT!$A$1:$A$33)</f>
        <v>OUTDOOR</v>
      </c>
      <c r="R11" s="2" t="s">
        <v>181</v>
      </c>
      <c r="S11" s="2">
        <v>32758</v>
      </c>
    </row>
    <row r="12" spans="1:19" x14ac:dyDescent="0.3">
      <c r="A12" s="46">
        <v>11</v>
      </c>
      <c r="B12" s="3" t="str">
        <f t="shared" si="0"/>
        <v>SIR ETHAN MURPHY</v>
      </c>
      <c r="C12" s="2" t="s">
        <v>37</v>
      </c>
      <c r="D12" s="2" t="s">
        <v>38</v>
      </c>
      <c r="E12" s="2"/>
      <c r="F12" s="2" t="s">
        <v>39</v>
      </c>
      <c r="G12" s="25">
        <v>31733</v>
      </c>
      <c r="H12" s="2" t="s">
        <v>40</v>
      </c>
      <c r="I12" s="2" t="s">
        <v>142</v>
      </c>
      <c r="J12" s="5" t="s">
        <v>147</v>
      </c>
      <c r="K12" s="5" t="str">
        <f>HLOOKUP($J12,LOCATION!$A$2:$M$3,2,FALSE)</f>
        <v>UK</v>
      </c>
      <c r="L12" s="5" t="str">
        <f>_xlfn.XLOOKUP($J12,LOCATION!$A$2:$M$2,LOCATION!$A$1:$M$1)</f>
        <v>English</v>
      </c>
      <c r="M12" s="5" t="str">
        <f t="shared" si="1"/>
        <v>murphy.ethan@xyz.org</v>
      </c>
      <c r="N12" s="4">
        <v>104.3</v>
      </c>
      <c r="O12" s="2" t="s">
        <v>211</v>
      </c>
      <c r="P12" s="2" t="s">
        <v>217</v>
      </c>
      <c r="Q12" s="3" t="str">
        <f>_xlfn.XLOOKUP($R12,SPORT!$B$1:$B$33,SPORT!$A$1:$A$33)</f>
        <v>OUTDOOR</v>
      </c>
      <c r="R12" s="2" t="s">
        <v>184</v>
      </c>
      <c r="S12" s="2">
        <v>99613</v>
      </c>
    </row>
    <row r="13" spans="1:19" x14ac:dyDescent="0.3">
      <c r="A13" s="46">
        <v>12</v>
      </c>
      <c r="B13" s="3" t="str">
        <f t="shared" si="0"/>
        <v>MRS. ASHLEY WOOD</v>
      </c>
      <c r="C13" s="2" t="s">
        <v>41</v>
      </c>
      <c r="D13" s="2" t="s">
        <v>42</v>
      </c>
      <c r="E13" s="2"/>
      <c r="F13" s="2" t="s">
        <v>43</v>
      </c>
      <c r="G13" s="25">
        <v>28412</v>
      </c>
      <c r="H13" s="2" t="s">
        <v>9</v>
      </c>
      <c r="I13" s="2" t="s">
        <v>138</v>
      </c>
      <c r="J13" s="5" t="s">
        <v>147</v>
      </c>
      <c r="K13" s="5" t="str">
        <f>HLOOKUP($J13,LOCATION!$A$2:$M$3,2,FALSE)</f>
        <v>UK</v>
      </c>
      <c r="L13" s="5" t="str">
        <f>_xlfn.XLOOKUP($J13,LOCATION!$A$2:$M$2,LOCATION!$A$1:$M$1)</f>
        <v>English</v>
      </c>
      <c r="M13" s="5" t="str">
        <f t="shared" si="1"/>
        <v>wood.ashley@xyz.org</v>
      </c>
      <c r="N13" s="4">
        <v>100.7</v>
      </c>
      <c r="O13" s="2" t="s">
        <v>211</v>
      </c>
      <c r="P13" s="2" t="s">
        <v>217</v>
      </c>
      <c r="Q13" s="3" t="str">
        <f>_xlfn.XLOOKUP($R13,SPORT!$B$1:$B$33,SPORT!$A$1:$A$33)</f>
        <v>OUTDOOR</v>
      </c>
      <c r="R13" s="2" t="s">
        <v>185</v>
      </c>
      <c r="S13" s="2">
        <v>56595</v>
      </c>
    </row>
    <row r="14" spans="1:19" x14ac:dyDescent="0.3">
      <c r="A14" s="46">
        <v>13</v>
      </c>
      <c r="B14" s="3" t="str">
        <f t="shared" si="0"/>
        <v>MS. MEGAN SCOTT</v>
      </c>
      <c r="C14" s="2" t="s">
        <v>6</v>
      </c>
      <c r="D14" s="2" t="s">
        <v>44</v>
      </c>
      <c r="E14" s="2"/>
      <c r="F14" s="2" t="s">
        <v>45</v>
      </c>
      <c r="G14" s="25">
        <v>28168</v>
      </c>
      <c r="H14" s="2" t="s">
        <v>12</v>
      </c>
      <c r="I14" s="2" t="s">
        <v>138</v>
      </c>
      <c r="J14" s="5" t="s">
        <v>147</v>
      </c>
      <c r="K14" s="5" t="str">
        <f>HLOOKUP($J14,LOCATION!$A$2:$M$3,2,FALSE)</f>
        <v>UK</v>
      </c>
      <c r="L14" s="5" t="str">
        <f>_xlfn.XLOOKUP($J14,LOCATION!$A$2:$M$2,LOCATION!$A$1:$M$1)</f>
        <v>English</v>
      </c>
      <c r="M14" s="5" t="str">
        <f t="shared" si="1"/>
        <v>scott.megan@xyz.org</v>
      </c>
      <c r="N14" s="4">
        <v>70.900000000000006</v>
      </c>
      <c r="O14" s="2" t="s">
        <v>209</v>
      </c>
      <c r="P14" s="2" t="s">
        <v>210</v>
      </c>
      <c r="Q14" s="3" t="str">
        <f>_xlfn.XLOOKUP($R14,SPORT!$B$1:$B$33,SPORT!$A$1:$A$33)</f>
        <v>OUTDOOR</v>
      </c>
      <c r="R14" s="2" t="s">
        <v>186</v>
      </c>
      <c r="S14" s="2">
        <v>117408</v>
      </c>
    </row>
    <row r="15" spans="1:19" x14ac:dyDescent="0.3">
      <c r="A15" s="46">
        <v>14</v>
      </c>
      <c r="B15" s="3" t="str">
        <f t="shared" si="0"/>
        <v>HR. HELMUT WEINHAE</v>
      </c>
      <c r="C15" s="2" t="s">
        <v>46</v>
      </c>
      <c r="D15" s="2" t="s">
        <v>47</v>
      </c>
      <c r="E15" s="2"/>
      <c r="F15" s="2" t="s">
        <v>48</v>
      </c>
      <c r="G15" s="25">
        <v>21788</v>
      </c>
      <c r="H15" s="2" t="s">
        <v>49</v>
      </c>
      <c r="I15" s="2" t="s">
        <v>142</v>
      </c>
      <c r="J15" s="5" t="s">
        <v>150</v>
      </c>
      <c r="K15" s="5" t="str">
        <f>HLOOKUP($J15,LOCATION!$A$2:$M$3,2,FALSE)</f>
        <v>GERMANY</v>
      </c>
      <c r="L15" s="5" t="str">
        <f>_xlfn.XLOOKUP($J15,LOCATION!$A$2:$M$2,LOCATION!$A$1:$M$1)</f>
        <v>German</v>
      </c>
      <c r="M15" s="5" t="str">
        <f t="shared" si="1"/>
        <v>weinhae.helmut@xyz.com</v>
      </c>
      <c r="N15" s="4">
        <v>68.3</v>
      </c>
      <c r="O15" s="2" t="s">
        <v>218</v>
      </c>
      <c r="P15" s="2" t="s">
        <v>216</v>
      </c>
      <c r="Q15" s="3" t="str">
        <f>_xlfn.XLOOKUP($R15,SPORT!$B$1:$B$33,SPORT!$A$1:$A$33)</f>
        <v>OUTDOOR</v>
      </c>
      <c r="R15" s="2" t="s">
        <v>187</v>
      </c>
      <c r="S15" s="2">
        <v>64862</v>
      </c>
    </row>
    <row r="16" spans="1:19" x14ac:dyDescent="0.3">
      <c r="A16" s="46">
        <v>15</v>
      </c>
      <c r="B16" s="3" t="str">
        <f t="shared" si="0"/>
        <v>PROF. MILENA SCHOTIN</v>
      </c>
      <c r="C16" s="2" t="s">
        <v>50</v>
      </c>
      <c r="D16" s="2" t="s">
        <v>51</v>
      </c>
      <c r="E16" s="2"/>
      <c r="F16" s="2" t="s">
        <v>52</v>
      </c>
      <c r="G16" s="25">
        <v>23804</v>
      </c>
      <c r="H16" s="2" t="s">
        <v>53</v>
      </c>
      <c r="I16" s="2" t="s">
        <v>138</v>
      </c>
      <c r="J16" s="5" t="s">
        <v>150</v>
      </c>
      <c r="K16" s="5" t="str">
        <f>HLOOKUP($J16,LOCATION!$A$2:$M$3,2,FALSE)</f>
        <v>GERMANY</v>
      </c>
      <c r="L16" s="5" t="str">
        <f>_xlfn.XLOOKUP($J16,LOCATION!$A$2:$M$2,LOCATION!$A$1:$M$1)</f>
        <v>German</v>
      </c>
      <c r="M16" s="5" t="str">
        <f t="shared" si="1"/>
        <v>schotin.milena@xyz.com</v>
      </c>
      <c r="N16" s="4">
        <v>105.3</v>
      </c>
      <c r="O16" s="2" t="s">
        <v>218</v>
      </c>
      <c r="P16" s="2" t="s">
        <v>217</v>
      </c>
      <c r="Q16" s="3" t="str">
        <f>_xlfn.XLOOKUP($R16,SPORT!$B$1:$B$33,SPORT!$A$1:$A$33)</f>
        <v>INDOOR</v>
      </c>
      <c r="R16" s="2" t="s">
        <v>188</v>
      </c>
      <c r="S16" s="2">
        <v>10241</v>
      </c>
    </row>
    <row r="17" spans="1:19" x14ac:dyDescent="0.3">
      <c r="A17" s="46">
        <v>16</v>
      </c>
      <c r="B17" s="3" t="str">
        <f t="shared" si="0"/>
        <v>HR. LOTHAR BIRNBAUM</v>
      </c>
      <c r="C17" s="2" t="s">
        <v>46</v>
      </c>
      <c r="D17" s="2" t="s">
        <v>54</v>
      </c>
      <c r="E17" s="2"/>
      <c r="F17" s="2" t="s">
        <v>55</v>
      </c>
      <c r="G17" s="25">
        <v>25405</v>
      </c>
      <c r="H17" s="2" t="s">
        <v>17</v>
      </c>
      <c r="I17" s="2" t="s">
        <v>142</v>
      </c>
      <c r="J17" s="5" t="s">
        <v>150</v>
      </c>
      <c r="K17" s="5" t="str">
        <f>HLOOKUP($J17,LOCATION!$A$2:$M$3,2,FALSE)</f>
        <v>GERMANY</v>
      </c>
      <c r="L17" s="5" t="str">
        <f>_xlfn.XLOOKUP($J17,LOCATION!$A$2:$M$2,LOCATION!$A$1:$M$1)</f>
        <v>German</v>
      </c>
      <c r="M17" s="5" t="str">
        <f t="shared" si="1"/>
        <v>birnbaum.lothar@xyz.com</v>
      </c>
      <c r="N17" s="4">
        <v>48.6</v>
      </c>
      <c r="O17" s="2" t="s">
        <v>214</v>
      </c>
      <c r="P17" s="2" t="s">
        <v>217</v>
      </c>
      <c r="Q17" s="3" t="str">
        <f>_xlfn.XLOOKUP($R17,SPORT!$B$1:$B$33,SPORT!$A$1:$A$33)</f>
        <v>OUTDOOR</v>
      </c>
      <c r="R17" s="2" t="s">
        <v>178</v>
      </c>
      <c r="S17" s="2">
        <v>88762</v>
      </c>
    </row>
    <row r="18" spans="1:19" x14ac:dyDescent="0.3">
      <c r="A18" s="46">
        <v>17</v>
      </c>
      <c r="B18" s="3" t="str">
        <f t="shared" si="0"/>
        <v>HR. PIETRO STOLZE</v>
      </c>
      <c r="C18" s="2" t="s">
        <v>46</v>
      </c>
      <c r="D18" s="2" t="s">
        <v>56</v>
      </c>
      <c r="E18" s="2"/>
      <c r="F18" s="2" t="s">
        <v>57</v>
      </c>
      <c r="G18" s="25">
        <v>26582</v>
      </c>
      <c r="H18" s="2" t="s">
        <v>9</v>
      </c>
      <c r="I18" s="2" t="s">
        <v>142</v>
      </c>
      <c r="J18" s="5" t="s">
        <v>150</v>
      </c>
      <c r="K18" s="5" t="str">
        <f>HLOOKUP($J18,LOCATION!$A$2:$M$3,2,FALSE)</f>
        <v>GERMANY</v>
      </c>
      <c r="L18" s="5" t="str">
        <f>_xlfn.XLOOKUP($J18,LOCATION!$A$2:$M$2,LOCATION!$A$1:$M$1)</f>
        <v>German</v>
      </c>
      <c r="M18" s="5" t="str">
        <f t="shared" si="1"/>
        <v>stolze.pietro@xyz.com</v>
      </c>
      <c r="N18" s="4">
        <v>105.9</v>
      </c>
      <c r="O18" s="2" t="s">
        <v>214</v>
      </c>
      <c r="P18" s="2" t="s">
        <v>210</v>
      </c>
      <c r="Q18" s="3" t="str">
        <f>_xlfn.XLOOKUP($R18,SPORT!$B$1:$B$33,SPORT!$A$1:$A$33)</f>
        <v>INDOOR</v>
      </c>
      <c r="R18" s="2" t="s">
        <v>189</v>
      </c>
      <c r="S18" s="2">
        <v>80757</v>
      </c>
    </row>
    <row r="19" spans="1:19" x14ac:dyDescent="0.3">
      <c r="A19" s="46">
        <v>18</v>
      </c>
      <c r="B19" s="3" t="str">
        <f t="shared" si="0"/>
        <v>HR. RICHARD  TLUSTEK</v>
      </c>
      <c r="C19" s="2" t="s">
        <v>46</v>
      </c>
      <c r="D19" s="2" t="s">
        <v>58</v>
      </c>
      <c r="E19" s="2"/>
      <c r="F19" s="2" t="s">
        <v>59</v>
      </c>
      <c r="G19" s="25">
        <v>21793</v>
      </c>
      <c r="H19" s="2" t="s">
        <v>49</v>
      </c>
      <c r="I19" s="2" t="s">
        <v>142</v>
      </c>
      <c r="J19" s="5" t="s">
        <v>150</v>
      </c>
      <c r="K19" s="5" t="str">
        <f>HLOOKUP($J19,LOCATION!$A$2:$M$3,2,FALSE)</f>
        <v>GERMANY</v>
      </c>
      <c r="L19" s="5" t="str">
        <f>_xlfn.XLOOKUP($J19,LOCATION!$A$2:$M$2,LOCATION!$A$1:$M$1)</f>
        <v>German</v>
      </c>
      <c r="M19" s="5" t="str">
        <f t="shared" si="1"/>
        <v>tlustek.richard @xyz.com</v>
      </c>
      <c r="N19" s="4">
        <v>71.099999999999994</v>
      </c>
      <c r="O19" s="2" t="s">
        <v>214</v>
      </c>
      <c r="P19" s="2" t="s">
        <v>210</v>
      </c>
      <c r="Q19" s="3" t="str">
        <f>_xlfn.XLOOKUP($R19,SPORT!$B$1:$B$33,SPORT!$A$1:$A$33)</f>
        <v>OUTDOOR</v>
      </c>
      <c r="R19" s="2" t="s">
        <v>190</v>
      </c>
      <c r="S19" s="2">
        <v>88794</v>
      </c>
    </row>
    <row r="20" spans="1:19" x14ac:dyDescent="0.3">
      <c r="A20" s="46">
        <v>19</v>
      </c>
      <c r="B20" s="3" t="str">
        <f t="shared" si="0"/>
        <v>DR. EARNESTINE RAYNOR</v>
      </c>
      <c r="C20" s="2" t="s">
        <v>21</v>
      </c>
      <c r="D20" s="2" t="s">
        <v>60</v>
      </c>
      <c r="E20" s="2"/>
      <c r="F20" s="2" t="s">
        <v>61</v>
      </c>
      <c r="G20" s="25">
        <v>28262</v>
      </c>
      <c r="H20" s="2" t="s">
        <v>20</v>
      </c>
      <c r="I20" s="2" t="s">
        <v>138</v>
      </c>
      <c r="J20" s="5" t="s">
        <v>152</v>
      </c>
      <c r="K20" s="5" t="str">
        <f>HLOOKUP($J20,LOCATION!$A$2:$M$3,2,FALSE)</f>
        <v>AUSTRALIA</v>
      </c>
      <c r="L20" s="5" t="str">
        <f>_xlfn.XLOOKUP($J20,LOCATION!$A$2:$M$2,LOCATION!$A$1:$M$1)</f>
        <v>English</v>
      </c>
      <c r="M20" s="5" t="str">
        <f t="shared" si="1"/>
        <v>raynor.earnestine@xyz.org</v>
      </c>
      <c r="N20" s="4">
        <v>70.3</v>
      </c>
      <c r="O20" s="2" t="s">
        <v>214</v>
      </c>
      <c r="P20" s="2" t="s">
        <v>216</v>
      </c>
      <c r="Q20" s="3" t="str">
        <f>_xlfn.XLOOKUP($R20,SPORT!$B$1:$B$33,SPORT!$A$1:$A$33)</f>
        <v>INDOOR</v>
      </c>
      <c r="R20" s="2" t="s">
        <v>191</v>
      </c>
      <c r="S20" s="2">
        <v>63526</v>
      </c>
    </row>
    <row r="21" spans="1:19" x14ac:dyDescent="0.3">
      <c r="A21" s="46">
        <v>20</v>
      </c>
      <c r="B21" s="3" t="str">
        <f t="shared" si="0"/>
        <v>MR. JASON GAYLORD</v>
      </c>
      <c r="C21" s="2" t="s">
        <v>24</v>
      </c>
      <c r="D21" s="2" t="s">
        <v>62</v>
      </c>
      <c r="E21" s="2"/>
      <c r="F21" s="2" t="s">
        <v>63</v>
      </c>
      <c r="G21" s="47">
        <v>27767</v>
      </c>
      <c r="H21" s="2" t="s">
        <v>64</v>
      </c>
      <c r="I21" s="2" t="s">
        <v>142</v>
      </c>
      <c r="J21" s="5" t="s">
        <v>152</v>
      </c>
      <c r="K21" s="5" t="str">
        <f>HLOOKUP($J21,LOCATION!$A$2:$M$3,2,FALSE)</f>
        <v>AUSTRALIA</v>
      </c>
      <c r="L21" s="5" t="str">
        <f>_xlfn.XLOOKUP($J21,LOCATION!$A$2:$M$2,LOCATION!$A$1:$M$1)</f>
        <v>English</v>
      </c>
      <c r="M21" s="5" t="str">
        <f t="shared" si="1"/>
        <v>gaylord.jason@xyz.org</v>
      </c>
      <c r="N21" s="48">
        <v>54.7</v>
      </c>
      <c r="O21" s="2" t="s">
        <v>211</v>
      </c>
      <c r="P21" s="2" t="s">
        <v>212</v>
      </c>
      <c r="Q21" s="3" t="str">
        <f>_xlfn.XLOOKUP($R21,SPORT!$B$1:$B$33,SPORT!$A$1:$A$33)</f>
        <v>INDOOR</v>
      </c>
      <c r="R21" s="2" t="s">
        <v>192</v>
      </c>
      <c r="S21" s="49">
        <v>46352</v>
      </c>
    </row>
    <row r="22" spans="1:19" x14ac:dyDescent="0.3">
      <c r="A22" s="46">
        <v>21</v>
      </c>
      <c r="B22" s="3" t="str">
        <f t="shared" si="0"/>
        <v>MR. KENDRICK SAUER</v>
      </c>
      <c r="C22" s="2" t="s">
        <v>24</v>
      </c>
      <c r="D22" s="2" t="s">
        <v>65</v>
      </c>
      <c r="E22" s="2"/>
      <c r="F22" s="2" t="s">
        <v>66</v>
      </c>
      <c r="G22" s="47">
        <v>35268</v>
      </c>
      <c r="H22" s="2" t="s">
        <v>17</v>
      </c>
      <c r="I22" s="2" t="s">
        <v>142</v>
      </c>
      <c r="J22" s="5" t="s">
        <v>152</v>
      </c>
      <c r="K22" s="5" t="str">
        <f>HLOOKUP($J22,LOCATION!$A$2:$M$3,2,FALSE)</f>
        <v>AUSTRALIA</v>
      </c>
      <c r="L22" s="5" t="str">
        <f>_xlfn.XLOOKUP($J22,LOCATION!$A$2:$M$2,LOCATION!$A$1:$M$1)</f>
        <v>English</v>
      </c>
      <c r="M22" s="5" t="str">
        <f t="shared" si="1"/>
        <v>sauer.kendrick@xyz.org</v>
      </c>
      <c r="N22" s="48">
        <v>100.9</v>
      </c>
      <c r="O22" s="2" t="s">
        <v>214</v>
      </c>
      <c r="P22" s="2" t="s">
        <v>215</v>
      </c>
      <c r="Q22" s="3" t="str">
        <f>_xlfn.XLOOKUP($R22,SPORT!$B$1:$B$33,SPORT!$A$1:$A$33)</f>
        <v>OUTDOOR</v>
      </c>
      <c r="R22" s="2" t="s">
        <v>193</v>
      </c>
      <c r="S22" s="49">
        <v>106808</v>
      </c>
    </row>
    <row r="23" spans="1:19" x14ac:dyDescent="0.3">
      <c r="A23" s="46">
        <v>22</v>
      </c>
      <c r="B23" s="3" t="str">
        <f t="shared" si="0"/>
        <v>DR. ANNABELL OLSON</v>
      </c>
      <c r="C23" s="2" t="s">
        <v>21</v>
      </c>
      <c r="D23" s="2" t="s">
        <v>67</v>
      </c>
      <c r="E23" s="2"/>
      <c r="F23" s="2" t="s">
        <v>68</v>
      </c>
      <c r="G23" s="47">
        <v>23483</v>
      </c>
      <c r="H23" s="2" t="s">
        <v>69</v>
      </c>
      <c r="I23" s="2" t="s">
        <v>138</v>
      </c>
      <c r="J23" s="5" t="s">
        <v>152</v>
      </c>
      <c r="K23" s="5" t="str">
        <f>HLOOKUP($J23,LOCATION!$A$2:$M$3,2,FALSE)</f>
        <v>AUSTRALIA</v>
      </c>
      <c r="L23" s="5" t="str">
        <f>_xlfn.XLOOKUP($J23,LOCATION!$A$2:$M$2,LOCATION!$A$1:$M$1)</f>
        <v>English</v>
      </c>
      <c r="M23" s="5" t="str">
        <f t="shared" si="1"/>
        <v>olson.annabell@xyz.org</v>
      </c>
      <c r="N23" s="48">
        <v>84.3</v>
      </c>
      <c r="O23" s="2" t="s">
        <v>209</v>
      </c>
      <c r="P23" s="2" t="s">
        <v>216</v>
      </c>
      <c r="Q23" s="3" t="str">
        <f>_xlfn.XLOOKUP($R23,SPORT!$B$1:$B$33,SPORT!$A$1:$A$33)</f>
        <v>OUTDOOR</v>
      </c>
      <c r="R23" s="2" t="s">
        <v>194</v>
      </c>
      <c r="S23" s="49">
        <v>96468</v>
      </c>
    </row>
    <row r="24" spans="1:19" x14ac:dyDescent="0.3">
      <c r="A24" s="46">
        <v>23</v>
      </c>
      <c r="B24" s="3" t="str">
        <f t="shared" si="0"/>
        <v>DR. JENA UPTON</v>
      </c>
      <c r="C24" s="2" t="s">
        <v>21</v>
      </c>
      <c r="D24" s="2" t="s">
        <v>70</v>
      </c>
      <c r="E24" s="2"/>
      <c r="F24" s="2" t="s">
        <v>71</v>
      </c>
      <c r="G24" s="47">
        <v>20437</v>
      </c>
      <c r="H24" s="2" t="s">
        <v>27</v>
      </c>
      <c r="I24" s="2" t="s">
        <v>138</v>
      </c>
      <c r="J24" s="5" t="s">
        <v>152</v>
      </c>
      <c r="K24" s="5" t="str">
        <f>HLOOKUP($J24,LOCATION!$A$2:$M$3,2,FALSE)</f>
        <v>AUSTRALIA</v>
      </c>
      <c r="L24" s="5" t="str">
        <f>_xlfn.XLOOKUP($J24,LOCATION!$A$2:$M$2,LOCATION!$A$1:$M$1)</f>
        <v>English</v>
      </c>
      <c r="M24" s="5" t="str">
        <f t="shared" si="1"/>
        <v>upton.jena@xyz.org</v>
      </c>
      <c r="N24" s="48">
        <v>66.8</v>
      </c>
      <c r="O24" s="2" t="s">
        <v>214</v>
      </c>
      <c r="P24" s="2" t="s">
        <v>217</v>
      </c>
      <c r="Q24" s="3" t="str">
        <f>_xlfn.XLOOKUP($R24,SPORT!$B$1:$B$33,SPORT!$A$1:$A$33)</f>
        <v>OUTDOOR</v>
      </c>
      <c r="R24" s="2" t="s">
        <v>195</v>
      </c>
      <c r="S24" s="49">
        <v>16526</v>
      </c>
    </row>
    <row r="25" spans="1:19" x14ac:dyDescent="0.3">
      <c r="A25" s="46">
        <v>24</v>
      </c>
      <c r="B25" s="3" t="str">
        <f t="shared" si="0"/>
        <v>DR. SHANNY BINS</v>
      </c>
      <c r="C25" s="2" t="s">
        <v>21</v>
      </c>
      <c r="D25" s="2" t="s">
        <v>72</v>
      </c>
      <c r="E25" s="2"/>
      <c r="F25" s="2" t="s">
        <v>73</v>
      </c>
      <c r="G25" s="47">
        <v>36400</v>
      </c>
      <c r="H25" s="2" t="s">
        <v>49</v>
      </c>
      <c r="I25" s="2" t="s">
        <v>138</v>
      </c>
      <c r="J25" s="5" t="s">
        <v>152</v>
      </c>
      <c r="K25" s="5" t="str">
        <f>HLOOKUP($J25,LOCATION!$A$2:$M$3,2,FALSE)</f>
        <v>AUSTRALIA</v>
      </c>
      <c r="L25" s="5" t="str">
        <f>_xlfn.XLOOKUP($J25,LOCATION!$A$2:$M$2,LOCATION!$A$1:$M$1)</f>
        <v>English</v>
      </c>
      <c r="M25" s="5" t="str">
        <f t="shared" si="1"/>
        <v>bins.shanny@xyz.org</v>
      </c>
      <c r="N25" s="48">
        <v>59.4</v>
      </c>
      <c r="O25" s="2" t="s">
        <v>213</v>
      </c>
      <c r="P25" s="2" t="s">
        <v>215</v>
      </c>
      <c r="Q25" s="3" t="str">
        <f>_xlfn.XLOOKUP($R25,SPORT!$B$1:$B$33,SPORT!$A$1:$A$33)</f>
        <v>OUTDOOR</v>
      </c>
      <c r="R25" s="2" t="s">
        <v>196</v>
      </c>
      <c r="S25" s="49">
        <v>21891</v>
      </c>
    </row>
    <row r="26" spans="1:19" x14ac:dyDescent="0.3">
      <c r="A26" s="46">
        <v>25</v>
      </c>
      <c r="B26" s="3" t="str">
        <f t="shared" si="0"/>
        <v>DR. TIA ABSHIRE</v>
      </c>
      <c r="C26" s="2" t="s">
        <v>21</v>
      </c>
      <c r="D26" s="2" t="s">
        <v>74</v>
      </c>
      <c r="E26" s="2"/>
      <c r="F26" s="2" t="s">
        <v>75</v>
      </c>
      <c r="G26" s="47">
        <v>24309</v>
      </c>
      <c r="H26" s="2" t="s">
        <v>17</v>
      </c>
      <c r="I26" s="2" t="s">
        <v>138</v>
      </c>
      <c r="J26" s="5" t="s">
        <v>152</v>
      </c>
      <c r="K26" s="5" t="str">
        <f>HLOOKUP($J26,LOCATION!$A$2:$M$3,2,FALSE)</f>
        <v>AUSTRALIA</v>
      </c>
      <c r="L26" s="5" t="str">
        <f>_xlfn.XLOOKUP($J26,LOCATION!$A$2:$M$2,LOCATION!$A$1:$M$1)</f>
        <v>English</v>
      </c>
      <c r="M26" s="5" t="str">
        <f t="shared" si="1"/>
        <v>abshire.tia@xyz.org</v>
      </c>
      <c r="N26" s="48">
        <v>77.8</v>
      </c>
      <c r="O26" s="2" t="s">
        <v>213</v>
      </c>
      <c r="P26" s="2" t="s">
        <v>216</v>
      </c>
      <c r="Q26" s="3" t="str">
        <f>_xlfn.XLOOKUP($R26,SPORT!$B$1:$B$33,SPORT!$A$1:$A$33)</f>
        <v>OUTDOOR</v>
      </c>
      <c r="R26" s="2" t="s">
        <v>181</v>
      </c>
      <c r="S26" s="49">
        <v>62037</v>
      </c>
    </row>
    <row r="27" spans="1:19" x14ac:dyDescent="0.3">
      <c r="A27" s="46">
        <v>26</v>
      </c>
      <c r="B27" s="3" t="str">
        <f t="shared" si="0"/>
        <v>MS. ISABEL RUNOLFSDOTTIR</v>
      </c>
      <c r="C27" s="2" t="s">
        <v>6</v>
      </c>
      <c r="D27" s="2" t="s">
        <v>76</v>
      </c>
      <c r="E27" s="2"/>
      <c r="F27" s="2" t="s">
        <v>77</v>
      </c>
      <c r="G27" s="47">
        <v>28570</v>
      </c>
      <c r="H27" s="2" t="s">
        <v>69</v>
      </c>
      <c r="I27" s="2" t="s">
        <v>138</v>
      </c>
      <c r="J27" s="5" t="s">
        <v>152</v>
      </c>
      <c r="K27" s="5" t="str">
        <f>HLOOKUP($J27,LOCATION!$A$2:$M$3,2,FALSE)</f>
        <v>AUSTRALIA</v>
      </c>
      <c r="L27" s="5" t="str">
        <f>_xlfn.XLOOKUP($J27,LOCATION!$A$2:$M$2,LOCATION!$A$1:$M$1)</f>
        <v>English</v>
      </c>
      <c r="M27" s="5" t="str">
        <f t="shared" si="1"/>
        <v>runolfsdottir.isabel@xyz.org</v>
      </c>
      <c r="N27" s="48">
        <v>85.9</v>
      </c>
      <c r="O27" s="2" t="s">
        <v>214</v>
      </c>
      <c r="P27" s="2" t="s">
        <v>219</v>
      </c>
      <c r="Q27" s="3" t="str">
        <f>_xlfn.XLOOKUP($R27,SPORT!$B$1:$B$33,SPORT!$A$1:$A$33)</f>
        <v>INDOOR</v>
      </c>
      <c r="R27" s="2" t="s">
        <v>174</v>
      </c>
      <c r="S27" s="49">
        <v>89737</v>
      </c>
    </row>
    <row r="28" spans="1:19" x14ac:dyDescent="0.3">
      <c r="A28" s="46">
        <v>27</v>
      </c>
      <c r="B28" s="3" t="str">
        <f t="shared" si="0"/>
        <v>HR. BARNEY WESACK</v>
      </c>
      <c r="C28" s="2" t="s">
        <v>46</v>
      </c>
      <c r="D28" s="2" t="s">
        <v>78</v>
      </c>
      <c r="E28" s="2"/>
      <c r="F28" s="2" t="s">
        <v>79</v>
      </c>
      <c r="G28" s="47">
        <v>25767</v>
      </c>
      <c r="H28" s="2" t="s">
        <v>17</v>
      </c>
      <c r="I28" s="2" t="s">
        <v>142</v>
      </c>
      <c r="J28" s="5" t="s">
        <v>154</v>
      </c>
      <c r="K28" s="5" t="str">
        <f>HLOOKUP($J28,LOCATION!$A$2:$M$3,2,FALSE)</f>
        <v>AUSTRIA</v>
      </c>
      <c r="L28" s="5" t="str">
        <f>_xlfn.XLOOKUP($J28,LOCATION!$A$2:$M$2,LOCATION!$A$1:$M$1)</f>
        <v>German</v>
      </c>
      <c r="M28" s="5" t="str">
        <f t="shared" si="1"/>
        <v>wesack.barney@xyz.com</v>
      </c>
      <c r="N28" s="48">
        <v>93.4</v>
      </c>
      <c r="O28" s="2" t="s">
        <v>213</v>
      </c>
      <c r="P28" s="2" t="s">
        <v>219</v>
      </c>
      <c r="Q28" s="3" t="str">
        <f>_xlfn.XLOOKUP($R28,SPORT!$B$1:$B$33,SPORT!$A$1:$A$33)</f>
        <v>INDOOR</v>
      </c>
      <c r="R28" s="2" t="s">
        <v>197</v>
      </c>
      <c r="S28" s="49">
        <v>41039</v>
      </c>
    </row>
    <row r="29" spans="1:19" x14ac:dyDescent="0.3">
      <c r="A29" s="46">
        <v>28</v>
      </c>
      <c r="B29" s="3" t="str">
        <f t="shared" si="0"/>
        <v>HR. BARUCH KADE</v>
      </c>
      <c r="C29" s="2" t="s">
        <v>46</v>
      </c>
      <c r="D29" s="2" t="s">
        <v>80</v>
      </c>
      <c r="E29" s="2"/>
      <c r="F29" s="2" t="s">
        <v>81</v>
      </c>
      <c r="G29" s="47">
        <v>30020</v>
      </c>
      <c r="H29" s="2" t="s">
        <v>53</v>
      </c>
      <c r="I29" s="2" t="s">
        <v>142</v>
      </c>
      <c r="J29" s="5" t="s">
        <v>154</v>
      </c>
      <c r="K29" s="5" t="str">
        <f>HLOOKUP($J29,LOCATION!$A$2:$M$3,2,FALSE)</f>
        <v>AUSTRIA</v>
      </c>
      <c r="L29" s="5" t="str">
        <f>_xlfn.XLOOKUP($J29,LOCATION!$A$2:$M$2,LOCATION!$A$1:$M$1)</f>
        <v>German</v>
      </c>
      <c r="M29" s="5" t="str">
        <f t="shared" si="1"/>
        <v>kade.baruch@xyz.com</v>
      </c>
      <c r="N29" s="48">
        <v>95.5</v>
      </c>
      <c r="O29" s="2" t="s">
        <v>218</v>
      </c>
      <c r="P29" s="2" t="s">
        <v>212</v>
      </c>
      <c r="Q29" s="3" t="str">
        <f>_xlfn.XLOOKUP($R29,SPORT!$B$1:$B$33,SPORT!$A$1:$A$33)</f>
        <v>OUTDOOR</v>
      </c>
      <c r="R29" s="2" t="s">
        <v>186</v>
      </c>
      <c r="S29" s="49">
        <v>28458</v>
      </c>
    </row>
    <row r="30" spans="1:19" x14ac:dyDescent="0.3">
      <c r="A30" s="46">
        <v>29</v>
      </c>
      <c r="B30" s="3" t="str">
        <f t="shared" si="0"/>
        <v>PROF. LIESBETH ROSEMANN</v>
      </c>
      <c r="C30" s="2" t="s">
        <v>50</v>
      </c>
      <c r="D30" s="2" t="s">
        <v>82</v>
      </c>
      <c r="E30" s="2"/>
      <c r="F30" s="2" t="s">
        <v>83</v>
      </c>
      <c r="G30" s="47">
        <v>34361</v>
      </c>
      <c r="H30" s="2" t="s">
        <v>12</v>
      </c>
      <c r="I30" s="2" t="s">
        <v>138</v>
      </c>
      <c r="J30" s="5" t="s">
        <v>154</v>
      </c>
      <c r="K30" s="5" t="str">
        <f>HLOOKUP($J30,LOCATION!$A$2:$M$3,2,FALSE)</f>
        <v>AUSTRIA</v>
      </c>
      <c r="L30" s="5" t="str">
        <f>_xlfn.XLOOKUP($J30,LOCATION!$A$2:$M$2,LOCATION!$A$1:$M$1)</f>
        <v>German</v>
      </c>
      <c r="M30" s="5" t="str">
        <f t="shared" si="1"/>
        <v>rosemann.liesbeth@xyz.com</v>
      </c>
      <c r="N30" s="48">
        <v>52.2</v>
      </c>
      <c r="O30" s="2" t="s">
        <v>214</v>
      </c>
      <c r="P30" s="2" t="s">
        <v>217</v>
      </c>
      <c r="Q30" s="3" t="str">
        <f>_xlfn.XLOOKUP($R30,SPORT!$B$1:$B$33,SPORT!$A$1:$A$33)</f>
        <v>OUTDOOR</v>
      </c>
      <c r="R30" s="2" t="s">
        <v>181</v>
      </c>
      <c r="S30" s="49">
        <v>55007</v>
      </c>
    </row>
    <row r="31" spans="1:19" x14ac:dyDescent="0.3">
      <c r="A31" s="46">
        <v>30</v>
      </c>
      <c r="B31" s="3" t="str">
        <f t="shared" si="0"/>
        <v>MME. VALENTINE MOREAU</v>
      </c>
      <c r="C31" s="2" t="s">
        <v>84</v>
      </c>
      <c r="D31" s="2" t="s">
        <v>85</v>
      </c>
      <c r="E31" s="2"/>
      <c r="F31" s="2" t="s">
        <v>86</v>
      </c>
      <c r="G31" s="47">
        <v>29137</v>
      </c>
      <c r="H31" s="2" t="s">
        <v>9</v>
      </c>
      <c r="I31" s="2" t="s">
        <v>138</v>
      </c>
      <c r="J31" s="5" t="s">
        <v>157</v>
      </c>
      <c r="K31" s="5" t="str">
        <f>HLOOKUP($J31,LOCATION!$A$2:$M$3,2,FALSE)</f>
        <v>FRANCE</v>
      </c>
      <c r="L31" s="5" t="str">
        <f>_xlfn.XLOOKUP($J31,LOCATION!$A$2:$M$2,LOCATION!$A$1:$M$1)</f>
        <v>French</v>
      </c>
      <c r="M31" s="5" t="str">
        <f t="shared" si="1"/>
        <v>moreau.valentine@xyz.com</v>
      </c>
      <c r="N31" s="48">
        <v>74.599999999999994</v>
      </c>
      <c r="O31" s="2" t="s">
        <v>214</v>
      </c>
      <c r="P31" s="2" t="s">
        <v>219</v>
      </c>
      <c r="Q31" s="3" t="str">
        <f>_xlfn.XLOOKUP($R31,SPORT!$B$1:$B$33,SPORT!$A$1:$A$33)</f>
        <v>OUTDOOR</v>
      </c>
      <c r="R31" s="2" t="s">
        <v>198</v>
      </c>
      <c r="S31" s="49">
        <v>69041</v>
      </c>
    </row>
    <row r="32" spans="1:19" x14ac:dyDescent="0.3">
      <c r="A32" s="46">
        <v>31</v>
      </c>
      <c r="B32" s="3" t="str">
        <f t="shared" si="0"/>
        <v>MME. PAULETTE DURAND</v>
      </c>
      <c r="C32" s="2" t="s">
        <v>84</v>
      </c>
      <c r="D32" s="2" t="s">
        <v>87</v>
      </c>
      <c r="E32" s="2"/>
      <c r="F32" s="2" t="s">
        <v>88</v>
      </c>
      <c r="G32" s="47">
        <v>32867</v>
      </c>
      <c r="H32" s="2" t="s">
        <v>64</v>
      </c>
      <c r="I32" s="2" t="s">
        <v>138</v>
      </c>
      <c r="J32" s="5" t="s">
        <v>157</v>
      </c>
      <c r="K32" s="5" t="str">
        <f>HLOOKUP($J32,LOCATION!$A$2:$M$3,2,FALSE)</f>
        <v>FRANCE</v>
      </c>
      <c r="L32" s="5" t="str">
        <f>_xlfn.XLOOKUP($J32,LOCATION!$A$2:$M$2,LOCATION!$A$1:$M$1)</f>
        <v>French</v>
      </c>
      <c r="M32" s="5" t="str">
        <f t="shared" si="1"/>
        <v>durand.paulette@xyz.com</v>
      </c>
      <c r="N32" s="48">
        <v>81.7</v>
      </c>
      <c r="O32" s="2" t="s">
        <v>213</v>
      </c>
      <c r="P32" s="2" t="s">
        <v>212</v>
      </c>
      <c r="Q32" s="3" t="str">
        <f>_xlfn.XLOOKUP($R32,SPORT!$B$1:$B$33,SPORT!$A$1:$A$33)</f>
        <v>INDOOR</v>
      </c>
      <c r="R32" s="2" t="s">
        <v>197</v>
      </c>
      <c r="S32" s="49">
        <v>86262</v>
      </c>
    </row>
    <row r="33" spans="1:19" x14ac:dyDescent="0.3">
      <c r="A33" s="46">
        <v>32</v>
      </c>
      <c r="B33" s="3" t="str">
        <f t="shared" si="0"/>
        <v>MME. LAURE-ALIX CHEVALIER</v>
      </c>
      <c r="C33" s="2" t="s">
        <v>84</v>
      </c>
      <c r="D33" s="2" t="s">
        <v>89</v>
      </c>
      <c r="E33" s="2"/>
      <c r="F33" s="2" t="s">
        <v>90</v>
      </c>
      <c r="G33" s="47">
        <v>25925</v>
      </c>
      <c r="H33" s="2" t="s">
        <v>64</v>
      </c>
      <c r="I33" s="2" t="s">
        <v>138</v>
      </c>
      <c r="J33" s="5" t="s">
        <v>157</v>
      </c>
      <c r="K33" s="5" t="str">
        <f>HLOOKUP($J33,LOCATION!$A$2:$M$3,2,FALSE)</f>
        <v>FRANCE</v>
      </c>
      <c r="L33" s="5" t="str">
        <f>_xlfn.XLOOKUP($J33,LOCATION!$A$2:$M$2,LOCATION!$A$1:$M$1)</f>
        <v>French</v>
      </c>
      <c r="M33" s="5" t="str">
        <f t="shared" si="1"/>
        <v>chevalier.laure-alix@xyz.com</v>
      </c>
      <c r="N33" s="48">
        <v>78.099999999999994</v>
      </c>
      <c r="O33" s="2" t="s">
        <v>214</v>
      </c>
      <c r="P33" s="2" t="s">
        <v>217</v>
      </c>
      <c r="Q33" s="3" t="str">
        <f>_xlfn.XLOOKUP($R33,SPORT!$B$1:$B$33,SPORT!$A$1:$A$33)</f>
        <v>OUTDOOR</v>
      </c>
      <c r="R33" s="2" t="s">
        <v>195</v>
      </c>
      <c r="S33" s="49">
        <v>19234</v>
      </c>
    </row>
    <row r="34" spans="1:19" x14ac:dyDescent="0.3">
      <c r="A34" s="46">
        <v>33</v>
      </c>
      <c r="B34" s="3" t="str">
        <f t="shared" si="0"/>
        <v>M. CLAUDE TOUSSAINT</v>
      </c>
      <c r="C34" s="2" t="s">
        <v>91</v>
      </c>
      <c r="D34" s="2" t="s">
        <v>92</v>
      </c>
      <c r="E34" s="2"/>
      <c r="F34" s="2" t="s">
        <v>93</v>
      </c>
      <c r="G34" s="47">
        <v>29529</v>
      </c>
      <c r="H34" s="2" t="s">
        <v>40</v>
      </c>
      <c r="I34" s="2" t="s">
        <v>142</v>
      </c>
      <c r="J34" s="5" t="s">
        <v>157</v>
      </c>
      <c r="K34" s="5" t="str">
        <f>HLOOKUP($J34,LOCATION!$A$2:$M$3,2,FALSE)</f>
        <v>FRANCE</v>
      </c>
      <c r="L34" s="5" t="str">
        <f>_xlfn.XLOOKUP($J34,LOCATION!$A$2:$M$2,LOCATION!$A$1:$M$1)</f>
        <v>French</v>
      </c>
      <c r="M34" s="5" t="str">
        <f t="shared" si="1"/>
        <v>toussaint.claude@xyz.com</v>
      </c>
      <c r="N34" s="48">
        <v>57.1</v>
      </c>
      <c r="O34" s="2" t="s">
        <v>209</v>
      </c>
      <c r="P34" s="2" t="s">
        <v>217</v>
      </c>
      <c r="Q34" s="3" t="str">
        <f>_xlfn.XLOOKUP($R34,SPORT!$B$1:$B$33,SPORT!$A$1:$A$33)</f>
        <v>INDOOR</v>
      </c>
      <c r="R34" s="2" t="s">
        <v>199</v>
      </c>
      <c r="S34" s="49">
        <v>95123</v>
      </c>
    </row>
    <row r="35" spans="1:19" x14ac:dyDescent="0.3">
      <c r="A35" s="46">
        <v>34</v>
      </c>
      <c r="B35" s="3" t="str">
        <f t="shared" si="0"/>
        <v>M. VICTOR LENOIR</v>
      </c>
      <c r="C35" s="2" t="s">
        <v>91</v>
      </c>
      <c r="D35" s="2" t="s">
        <v>94</v>
      </c>
      <c r="E35" s="2"/>
      <c r="F35" s="2" t="s">
        <v>95</v>
      </c>
      <c r="G35" s="47">
        <v>29875</v>
      </c>
      <c r="H35" s="2" t="s">
        <v>9</v>
      </c>
      <c r="I35" s="2" t="s">
        <v>142</v>
      </c>
      <c r="J35" s="5" t="s">
        <v>157</v>
      </c>
      <c r="K35" s="5" t="str">
        <f>HLOOKUP($J35,LOCATION!$A$2:$M$3,2,FALSE)</f>
        <v>FRANCE</v>
      </c>
      <c r="L35" s="5" t="str">
        <f>_xlfn.XLOOKUP($J35,LOCATION!$A$2:$M$2,LOCATION!$A$1:$M$1)</f>
        <v>French</v>
      </c>
      <c r="M35" s="5" t="str">
        <f t="shared" si="1"/>
        <v>lenoir.victor@xyz.com</v>
      </c>
      <c r="N35" s="48">
        <v>56</v>
      </c>
      <c r="O35" s="2" t="s">
        <v>214</v>
      </c>
      <c r="P35" s="2" t="s">
        <v>219</v>
      </c>
      <c r="Q35" s="3" t="str">
        <f>_xlfn.XLOOKUP($R35,SPORT!$B$1:$B$33,SPORT!$A$1:$A$33)</f>
        <v>OUTDOOR</v>
      </c>
      <c r="R35" s="2" t="s">
        <v>193</v>
      </c>
      <c r="S35" s="49">
        <v>62761</v>
      </c>
    </row>
    <row r="36" spans="1:19" x14ac:dyDescent="0.3">
      <c r="A36" s="46">
        <v>35</v>
      </c>
      <c r="B36" s="3" t="str">
        <f t="shared" si="0"/>
        <v>M. ARTHUR LENOIR</v>
      </c>
      <c r="C36" s="2" t="s">
        <v>91</v>
      </c>
      <c r="D36" s="2" t="s">
        <v>96</v>
      </c>
      <c r="E36" s="2"/>
      <c r="F36" s="2" t="s">
        <v>95</v>
      </c>
      <c r="G36" s="47">
        <v>20300</v>
      </c>
      <c r="H36" s="2" t="s">
        <v>30</v>
      </c>
      <c r="I36" s="2" t="s">
        <v>142</v>
      </c>
      <c r="J36" s="5" t="s">
        <v>157</v>
      </c>
      <c r="K36" s="5" t="str">
        <f>HLOOKUP($J36,LOCATION!$A$2:$M$3,2,FALSE)</f>
        <v>FRANCE</v>
      </c>
      <c r="L36" s="5" t="str">
        <f>_xlfn.XLOOKUP($J36,LOCATION!$A$2:$M$2,LOCATION!$A$1:$M$1)</f>
        <v>French</v>
      </c>
      <c r="M36" s="5" t="str">
        <f t="shared" si="1"/>
        <v>lenoir.arthur@xyz.com</v>
      </c>
      <c r="N36" s="48">
        <v>88.6</v>
      </c>
      <c r="O36" s="2" t="s">
        <v>213</v>
      </c>
      <c r="P36" s="2" t="s">
        <v>217</v>
      </c>
      <c r="Q36" s="3" t="str">
        <f>_xlfn.XLOOKUP($R36,SPORT!$B$1:$B$33,SPORT!$A$1:$A$33)</f>
        <v>OUTDOOR</v>
      </c>
      <c r="R36" s="2" t="s">
        <v>200</v>
      </c>
      <c r="S36" s="49">
        <v>108431</v>
      </c>
    </row>
    <row r="37" spans="1:19" x14ac:dyDescent="0.3">
      <c r="A37" s="46">
        <v>36</v>
      </c>
      <c r="B37" s="3" t="str">
        <f t="shared" si="0"/>
        <v>M. BENJAMIN LEBRUN-BRUN</v>
      </c>
      <c r="C37" s="2" t="s">
        <v>91</v>
      </c>
      <c r="D37" s="2" t="s">
        <v>97</v>
      </c>
      <c r="E37" s="2"/>
      <c r="F37" s="2" t="s">
        <v>98</v>
      </c>
      <c r="G37" s="47">
        <v>27428</v>
      </c>
      <c r="H37" s="2" t="s">
        <v>12</v>
      </c>
      <c r="I37" s="2" t="s">
        <v>142</v>
      </c>
      <c r="J37" s="5" t="s">
        <v>157</v>
      </c>
      <c r="K37" s="5" t="str">
        <f>HLOOKUP($J37,LOCATION!$A$2:$M$3,2,FALSE)</f>
        <v>FRANCE</v>
      </c>
      <c r="L37" s="5" t="str">
        <f>_xlfn.XLOOKUP($J37,LOCATION!$A$2:$M$2,LOCATION!$A$1:$M$1)</f>
        <v>French</v>
      </c>
      <c r="M37" s="5" t="str">
        <f t="shared" si="1"/>
        <v>lebrun-brun.benjamin@xyz.com</v>
      </c>
      <c r="N37" s="48">
        <v>78.2</v>
      </c>
      <c r="O37" s="2" t="s">
        <v>211</v>
      </c>
      <c r="P37" s="2" t="s">
        <v>212</v>
      </c>
      <c r="Q37" s="3" t="str">
        <f>_xlfn.XLOOKUP($R37,SPORT!$B$1:$B$33,SPORT!$A$1:$A$33)</f>
        <v>OUTDOOR</v>
      </c>
      <c r="R37" s="2" t="s">
        <v>193</v>
      </c>
      <c r="S37" s="49">
        <v>66268</v>
      </c>
    </row>
    <row r="38" spans="1:19" x14ac:dyDescent="0.3">
      <c r="A38" s="46">
        <v>37</v>
      </c>
      <c r="B38" s="3" t="str">
        <f t="shared" si="0"/>
        <v>M. ANTOINE MAILLARD</v>
      </c>
      <c r="C38" s="2" t="s">
        <v>91</v>
      </c>
      <c r="D38" s="2" t="s">
        <v>99</v>
      </c>
      <c r="E38" s="2"/>
      <c r="F38" s="2" t="s">
        <v>100</v>
      </c>
      <c r="G38" s="47">
        <v>31585</v>
      </c>
      <c r="H38" s="2" t="s">
        <v>17</v>
      </c>
      <c r="I38" s="2" t="s">
        <v>142</v>
      </c>
      <c r="J38" s="5" t="s">
        <v>157</v>
      </c>
      <c r="K38" s="5" t="str">
        <f>HLOOKUP($J38,LOCATION!$A$2:$M$3,2,FALSE)</f>
        <v>FRANCE</v>
      </c>
      <c r="L38" s="5" t="str">
        <f>_xlfn.XLOOKUP($J38,LOCATION!$A$2:$M$2,LOCATION!$A$1:$M$1)</f>
        <v>French</v>
      </c>
      <c r="M38" s="5" t="str">
        <f t="shared" si="1"/>
        <v>maillard.antoine@xyz.com</v>
      </c>
      <c r="N38" s="48">
        <v>95.8</v>
      </c>
      <c r="O38" s="2" t="s">
        <v>214</v>
      </c>
      <c r="P38" s="2" t="s">
        <v>215</v>
      </c>
      <c r="Q38" s="3" t="str">
        <f>_xlfn.XLOOKUP($R38,SPORT!$B$1:$B$33,SPORT!$A$1:$A$33)</f>
        <v>OUTDOOR</v>
      </c>
      <c r="R38" s="2" t="s">
        <v>201</v>
      </c>
      <c r="S38" s="49">
        <v>33970</v>
      </c>
    </row>
    <row r="39" spans="1:19" x14ac:dyDescent="0.3">
      <c r="A39" s="46">
        <v>38</v>
      </c>
      <c r="B39" s="3" t="str">
        <f t="shared" si="0"/>
        <v>M. BERNARD HOARAU-GUYON</v>
      </c>
      <c r="C39" s="2" t="s">
        <v>91</v>
      </c>
      <c r="D39" s="2" t="s">
        <v>101</v>
      </c>
      <c r="E39" s="2"/>
      <c r="F39" s="2" t="s">
        <v>102</v>
      </c>
      <c r="G39" s="47">
        <v>30327</v>
      </c>
      <c r="H39" s="2" t="s">
        <v>64</v>
      </c>
      <c r="I39" s="2" t="s">
        <v>142</v>
      </c>
      <c r="J39" s="5" t="s">
        <v>157</v>
      </c>
      <c r="K39" s="5" t="str">
        <f>HLOOKUP($J39,LOCATION!$A$2:$M$3,2,FALSE)</f>
        <v>FRANCE</v>
      </c>
      <c r="L39" s="5" t="str">
        <f>_xlfn.XLOOKUP($J39,LOCATION!$A$2:$M$2,LOCATION!$A$1:$M$1)</f>
        <v>French</v>
      </c>
      <c r="M39" s="5" t="str">
        <f t="shared" si="1"/>
        <v>hoarau-guyon.bernard@xyz.com</v>
      </c>
      <c r="N39" s="48">
        <v>59.7</v>
      </c>
      <c r="O39" s="2" t="s">
        <v>218</v>
      </c>
      <c r="P39" s="2" t="s">
        <v>212</v>
      </c>
      <c r="Q39" s="3" t="str">
        <f>_xlfn.XLOOKUP($R39,SPORT!$B$1:$B$33,SPORT!$A$1:$A$33)</f>
        <v>INDOOR</v>
      </c>
      <c r="R39" s="2" t="s">
        <v>174</v>
      </c>
      <c r="S39" s="49">
        <v>71352</v>
      </c>
    </row>
    <row r="40" spans="1:19" x14ac:dyDescent="0.3">
      <c r="A40" s="46">
        <v>39</v>
      </c>
      <c r="B40" s="3" t="str">
        <f t="shared" si="0"/>
        <v>SR. HIDALGO TERCERO</v>
      </c>
      <c r="C40" s="2" t="s">
        <v>13</v>
      </c>
      <c r="D40" s="2" t="s">
        <v>103</v>
      </c>
      <c r="E40" s="2" t="s">
        <v>104</v>
      </c>
      <c r="F40" s="2" t="s">
        <v>105</v>
      </c>
      <c r="G40" s="47">
        <v>31016</v>
      </c>
      <c r="H40" s="2" t="s">
        <v>27</v>
      </c>
      <c r="I40" s="2" t="s">
        <v>142</v>
      </c>
      <c r="J40" s="5" t="s">
        <v>160</v>
      </c>
      <c r="K40" s="5" t="str">
        <f>HLOOKUP($J40,LOCATION!$A$2:$M$3,2,FALSE)</f>
        <v>ARGENTINA</v>
      </c>
      <c r="L40" s="5" t="str">
        <f>_xlfn.XLOOKUP($J40,LOCATION!$A$2:$M$2,LOCATION!$A$1:$M$1)</f>
        <v>Spanish</v>
      </c>
      <c r="M40" s="5" t="str">
        <f t="shared" si="1"/>
        <v>tercero.hidalgo@xyz.com</v>
      </c>
      <c r="N40" s="48">
        <v>77.7</v>
      </c>
      <c r="O40" s="2" t="s">
        <v>218</v>
      </c>
      <c r="P40" s="2" t="s">
        <v>215</v>
      </c>
      <c r="Q40" s="3" t="str">
        <f>_xlfn.XLOOKUP($R40,SPORT!$B$1:$B$33,SPORT!$A$1:$A$33)</f>
        <v>OUTDOOR</v>
      </c>
      <c r="R40" s="2" t="s">
        <v>196</v>
      </c>
      <c r="S40" s="49">
        <v>116376</v>
      </c>
    </row>
    <row r="41" spans="1:19" x14ac:dyDescent="0.3">
      <c r="A41" s="46">
        <v>40</v>
      </c>
      <c r="B41" s="3" t="str">
        <f t="shared" si="0"/>
        <v>SR. HADALGO POLANCO</v>
      </c>
      <c r="C41" s="2" t="s">
        <v>13</v>
      </c>
      <c r="D41" s="2" t="s">
        <v>106</v>
      </c>
      <c r="E41" s="2"/>
      <c r="F41" s="2" t="s">
        <v>107</v>
      </c>
      <c r="G41" s="47">
        <v>32314</v>
      </c>
      <c r="H41" s="2" t="s">
        <v>108</v>
      </c>
      <c r="I41" s="2" t="s">
        <v>142</v>
      </c>
      <c r="J41" s="5" t="s">
        <v>160</v>
      </c>
      <c r="K41" s="5" t="str">
        <f>HLOOKUP($J41,LOCATION!$A$2:$M$3,2,FALSE)</f>
        <v>ARGENTINA</v>
      </c>
      <c r="L41" s="5" t="str">
        <f>_xlfn.XLOOKUP($J41,LOCATION!$A$2:$M$2,LOCATION!$A$1:$M$1)</f>
        <v>Spanish</v>
      </c>
      <c r="M41" s="5" t="str">
        <f t="shared" si="1"/>
        <v>polanco.hadalgo@xyz.com</v>
      </c>
      <c r="N41" s="48">
        <v>98</v>
      </c>
      <c r="O41" s="2" t="s">
        <v>214</v>
      </c>
      <c r="P41" s="2" t="s">
        <v>210</v>
      </c>
      <c r="Q41" s="3" t="str">
        <f>_xlfn.XLOOKUP($R41,SPORT!$B$1:$B$33,SPORT!$A$1:$A$33)</f>
        <v>OUTDOOR</v>
      </c>
      <c r="R41" s="2" t="s">
        <v>195</v>
      </c>
      <c r="S41" s="49">
        <v>114144</v>
      </c>
    </row>
    <row r="42" spans="1:19" x14ac:dyDescent="0.3">
      <c r="A42" s="46">
        <v>41</v>
      </c>
      <c r="B42" s="3" t="str">
        <f t="shared" si="0"/>
        <v>SRA. LAURA OLIVIERA</v>
      </c>
      <c r="C42" s="2" t="s">
        <v>109</v>
      </c>
      <c r="D42" s="2" t="s">
        <v>110</v>
      </c>
      <c r="E42" s="2"/>
      <c r="F42" s="2" t="s">
        <v>111</v>
      </c>
      <c r="G42" s="47">
        <v>27076</v>
      </c>
      <c r="H42" s="2" t="s">
        <v>12</v>
      </c>
      <c r="I42" s="2" t="s">
        <v>138</v>
      </c>
      <c r="J42" s="5" t="s">
        <v>160</v>
      </c>
      <c r="K42" s="5" t="str">
        <f>HLOOKUP($J42,LOCATION!$A$2:$M$3,2,FALSE)</f>
        <v>ARGENTINA</v>
      </c>
      <c r="L42" s="5" t="str">
        <f>_xlfn.XLOOKUP($J42,LOCATION!$A$2:$M$2,LOCATION!$A$1:$M$1)</f>
        <v>Spanish</v>
      </c>
      <c r="M42" s="5" t="str">
        <f t="shared" si="1"/>
        <v>oliviera.laura@xyz.com</v>
      </c>
      <c r="N42" s="48">
        <v>51.9</v>
      </c>
      <c r="O42" s="2" t="s">
        <v>213</v>
      </c>
      <c r="P42" s="2" t="s">
        <v>212</v>
      </c>
      <c r="Q42" s="3" t="str">
        <f>_xlfn.XLOOKUP($R42,SPORT!$B$1:$B$33,SPORT!$A$1:$A$33)</f>
        <v>OUTDOOR</v>
      </c>
      <c r="R42" s="2" t="s">
        <v>202</v>
      </c>
      <c r="S42" s="49">
        <v>79872</v>
      </c>
    </row>
    <row r="43" spans="1:19" x14ac:dyDescent="0.3">
      <c r="A43" s="46">
        <v>42</v>
      </c>
      <c r="B43" s="3" t="str">
        <f t="shared" si="0"/>
        <v>SRA. AINHOA GARZA</v>
      </c>
      <c r="C43" s="2" t="s">
        <v>109</v>
      </c>
      <c r="D43" s="2" t="s">
        <v>112</v>
      </c>
      <c r="E43" s="2"/>
      <c r="F43" s="2" t="s">
        <v>113</v>
      </c>
      <c r="G43" s="47">
        <v>32941</v>
      </c>
      <c r="H43" s="2" t="s">
        <v>53</v>
      </c>
      <c r="I43" s="2" t="s">
        <v>138</v>
      </c>
      <c r="J43" s="5" t="s">
        <v>162</v>
      </c>
      <c r="K43" s="5" t="str">
        <f>HLOOKUP($J43,LOCATION!$A$2:$M$3,2,FALSE)</f>
        <v>SPAIN</v>
      </c>
      <c r="L43" s="5" t="str">
        <f>_xlfn.XLOOKUP($J43,LOCATION!$A$2:$M$2,LOCATION!$A$1:$M$1)</f>
        <v>Spanish</v>
      </c>
      <c r="M43" s="5" t="str">
        <f t="shared" si="1"/>
        <v>garza.ainhoa@xyz.com</v>
      </c>
      <c r="N43" s="48">
        <v>55.6</v>
      </c>
      <c r="O43" s="2" t="s">
        <v>211</v>
      </c>
      <c r="P43" s="2" t="s">
        <v>217</v>
      </c>
      <c r="Q43" s="3" t="str">
        <f>_xlfn.XLOOKUP($R43,SPORT!$B$1:$B$33,SPORT!$A$1:$A$33)</f>
        <v>INDOOR</v>
      </c>
      <c r="R43" s="2" t="s">
        <v>203</v>
      </c>
      <c r="S43" s="49">
        <v>101969</v>
      </c>
    </row>
    <row r="44" spans="1:19" x14ac:dyDescent="0.3">
      <c r="A44" s="46">
        <v>43</v>
      </c>
      <c r="B44" s="3" t="str">
        <f t="shared" si="0"/>
        <v>SRA. ISABEL BANDA</v>
      </c>
      <c r="C44" s="2" t="s">
        <v>109</v>
      </c>
      <c r="D44" s="2" t="s">
        <v>76</v>
      </c>
      <c r="E44" s="2"/>
      <c r="F44" s="2" t="s">
        <v>114</v>
      </c>
      <c r="G44" s="47">
        <v>21927</v>
      </c>
      <c r="H44" s="2" t="s">
        <v>64</v>
      </c>
      <c r="I44" s="2" t="s">
        <v>138</v>
      </c>
      <c r="J44" s="5" t="s">
        <v>162</v>
      </c>
      <c r="K44" s="5" t="str">
        <f>HLOOKUP($J44,LOCATION!$A$2:$M$3,2,FALSE)</f>
        <v>SPAIN</v>
      </c>
      <c r="L44" s="5" t="str">
        <f>_xlfn.XLOOKUP($J44,LOCATION!$A$2:$M$2,LOCATION!$A$1:$M$1)</f>
        <v>Spanish</v>
      </c>
      <c r="M44" s="5" t="str">
        <f t="shared" si="1"/>
        <v>banda.isabel@xyz.com</v>
      </c>
      <c r="N44" s="48">
        <v>102.3</v>
      </c>
      <c r="O44" s="2" t="s">
        <v>213</v>
      </c>
      <c r="P44" s="2" t="s">
        <v>217</v>
      </c>
      <c r="Q44" s="3" t="str">
        <f>_xlfn.XLOOKUP($R44,SPORT!$B$1:$B$33,SPORT!$A$1:$A$33)</f>
        <v>OUTDOOR</v>
      </c>
      <c r="R44" s="2" t="s">
        <v>196</v>
      </c>
      <c r="S44" s="49">
        <v>50659</v>
      </c>
    </row>
    <row r="45" spans="1:19" x14ac:dyDescent="0.3">
      <c r="A45" s="46">
        <v>44</v>
      </c>
      <c r="B45" s="3" t="str">
        <f t="shared" si="0"/>
        <v>SRA. CAROLOTA MATEOS</v>
      </c>
      <c r="C45" s="2" t="s">
        <v>109</v>
      </c>
      <c r="D45" s="2" t="s">
        <v>115</v>
      </c>
      <c r="E45" s="2"/>
      <c r="F45" s="2" t="s">
        <v>116</v>
      </c>
      <c r="G45" s="47">
        <v>23952</v>
      </c>
      <c r="H45" s="2" t="s">
        <v>30</v>
      </c>
      <c r="I45" s="2" t="s">
        <v>138</v>
      </c>
      <c r="J45" s="5" t="s">
        <v>162</v>
      </c>
      <c r="K45" s="5" t="str">
        <f>HLOOKUP($J45,LOCATION!$A$2:$M$3,2,FALSE)</f>
        <v>SPAIN</v>
      </c>
      <c r="L45" s="5" t="str">
        <f>_xlfn.XLOOKUP($J45,LOCATION!$A$2:$M$2,LOCATION!$A$1:$M$1)</f>
        <v>Spanish</v>
      </c>
      <c r="M45" s="5" t="str">
        <f t="shared" si="1"/>
        <v>mateos.carolota@xyz.com</v>
      </c>
      <c r="N45" s="48">
        <v>58.8</v>
      </c>
      <c r="O45" s="2" t="s">
        <v>218</v>
      </c>
      <c r="P45" s="2" t="s">
        <v>212</v>
      </c>
      <c r="Q45" s="3" t="str">
        <f>_xlfn.XLOOKUP($R45,SPORT!$B$1:$B$33,SPORT!$A$1:$A$33)</f>
        <v>OUTDOOR</v>
      </c>
      <c r="R45" s="2" t="s">
        <v>202</v>
      </c>
      <c r="S45" s="49">
        <v>58215</v>
      </c>
    </row>
    <row r="46" spans="1:19" x14ac:dyDescent="0.3">
      <c r="A46" s="46">
        <v>45</v>
      </c>
      <c r="B46" s="3" t="str">
        <f t="shared" si="0"/>
        <v>MW. ELIZE PRINS</v>
      </c>
      <c r="C46" s="2" t="s">
        <v>117</v>
      </c>
      <c r="D46" s="2" t="s">
        <v>118</v>
      </c>
      <c r="E46" s="2"/>
      <c r="F46" s="2" t="s">
        <v>119</v>
      </c>
      <c r="G46" s="47">
        <v>22044</v>
      </c>
      <c r="H46" s="2" t="s">
        <v>20</v>
      </c>
      <c r="I46" s="2" t="s">
        <v>138</v>
      </c>
      <c r="J46" s="5" t="s">
        <v>165</v>
      </c>
      <c r="K46" s="5" t="str">
        <f>HLOOKUP($J46,LOCATION!$A$2:$M$3,2,FALSE)</f>
        <v>NETHERLANDS</v>
      </c>
      <c r="L46" s="5" t="str">
        <f>_xlfn.XLOOKUP($J46,LOCATION!$A$2:$M$2,LOCATION!$A$1:$M$1)</f>
        <v>Dutch</v>
      </c>
      <c r="M46" s="5" t="str">
        <f t="shared" si="1"/>
        <v>prins.elize@xyz.com</v>
      </c>
      <c r="N46" s="48">
        <v>63.8</v>
      </c>
      <c r="O46" s="2" t="s">
        <v>214</v>
      </c>
      <c r="P46" s="2" t="s">
        <v>217</v>
      </c>
      <c r="Q46" s="3" t="str">
        <f>_xlfn.XLOOKUP($R46,SPORT!$B$1:$B$33,SPORT!$A$1:$A$33)</f>
        <v>INDOOR</v>
      </c>
      <c r="R46" s="2" t="s">
        <v>204</v>
      </c>
      <c r="S46" s="49">
        <v>39935</v>
      </c>
    </row>
    <row r="47" spans="1:19" x14ac:dyDescent="0.3">
      <c r="A47" s="46">
        <v>46</v>
      </c>
      <c r="B47" s="3" t="str">
        <f t="shared" si="0"/>
        <v>DHR. RYAN PHAM</v>
      </c>
      <c r="C47" s="2" t="s">
        <v>120</v>
      </c>
      <c r="D47" s="2" t="s">
        <v>121</v>
      </c>
      <c r="E47" s="2"/>
      <c r="F47" s="2" t="s">
        <v>122</v>
      </c>
      <c r="G47" s="47">
        <v>26940</v>
      </c>
      <c r="H47" s="2" t="s">
        <v>9</v>
      </c>
      <c r="I47" s="2" t="s">
        <v>142</v>
      </c>
      <c r="J47" s="5" t="s">
        <v>165</v>
      </c>
      <c r="K47" s="5" t="str">
        <f>HLOOKUP($J47,LOCATION!$A$2:$M$3,2,FALSE)</f>
        <v>NETHERLANDS</v>
      </c>
      <c r="L47" s="5" t="str">
        <f>_xlfn.XLOOKUP($J47,LOCATION!$A$2:$M$2,LOCATION!$A$1:$M$1)</f>
        <v>Dutch</v>
      </c>
      <c r="M47" s="5" t="str">
        <f t="shared" si="1"/>
        <v>pham.ryan@xyz.com</v>
      </c>
      <c r="N47" s="48">
        <v>98.6</v>
      </c>
      <c r="O47" s="2" t="s">
        <v>213</v>
      </c>
      <c r="P47" s="2" t="s">
        <v>219</v>
      </c>
      <c r="Q47" s="3" t="str">
        <f>_xlfn.XLOOKUP($R47,SPORT!$B$1:$B$33,SPORT!$A$1:$A$33)</f>
        <v>OUTDOOR</v>
      </c>
      <c r="R47" s="2" t="s">
        <v>195</v>
      </c>
      <c r="S47" s="49">
        <v>44865</v>
      </c>
    </row>
    <row r="48" spans="1:19" x14ac:dyDescent="0.3">
      <c r="A48" s="46">
        <v>47</v>
      </c>
      <c r="B48" s="3" t="str">
        <f t="shared" si="0"/>
        <v>MW ELISE ROTTEVEEL</v>
      </c>
      <c r="C48" s="2" t="s">
        <v>123</v>
      </c>
      <c r="D48" s="2" t="s">
        <v>124</v>
      </c>
      <c r="E48" s="2"/>
      <c r="F48" s="2" t="s">
        <v>125</v>
      </c>
      <c r="G48" s="47">
        <v>24936</v>
      </c>
      <c r="H48" s="2" t="s">
        <v>69</v>
      </c>
      <c r="I48" s="2" t="s">
        <v>138</v>
      </c>
      <c r="J48" s="5" t="s">
        <v>165</v>
      </c>
      <c r="K48" s="5" t="str">
        <f>HLOOKUP($J48,LOCATION!$A$2:$M$3,2,FALSE)</f>
        <v>NETHERLANDS</v>
      </c>
      <c r="L48" s="5" t="str">
        <f>_xlfn.XLOOKUP($J48,LOCATION!$A$2:$M$2,LOCATION!$A$1:$M$1)</f>
        <v>Dutch</v>
      </c>
      <c r="M48" s="5" t="str">
        <f t="shared" si="1"/>
        <v>rotteveel.elise@xyz.com</v>
      </c>
      <c r="N48" s="48">
        <v>61.8</v>
      </c>
      <c r="O48" s="2" t="s">
        <v>218</v>
      </c>
      <c r="P48" s="2" t="s">
        <v>212</v>
      </c>
      <c r="Q48" s="3" t="str">
        <f>_xlfn.XLOOKUP($R48,SPORT!$B$1:$B$33,SPORT!$A$1:$A$33)</f>
        <v>OUTDOOR</v>
      </c>
      <c r="R48" s="2" t="s">
        <v>195</v>
      </c>
      <c r="S48" s="49">
        <v>90478</v>
      </c>
    </row>
    <row r="49" spans="1:19" x14ac:dyDescent="0.3">
      <c r="A49" s="46">
        <v>48</v>
      </c>
      <c r="B49" s="3" t="str">
        <f t="shared" si="0"/>
        <v>FRU. MIRJAM SODERBERG</v>
      </c>
      <c r="C49" s="2" t="s">
        <v>126</v>
      </c>
      <c r="D49" s="2" t="s">
        <v>127</v>
      </c>
      <c r="E49" s="2"/>
      <c r="F49" s="2" t="s">
        <v>128</v>
      </c>
      <c r="G49" s="47">
        <v>35567</v>
      </c>
      <c r="H49" s="2" t="s">
        <v>20</v>
      </c>
      <c r="I49" s="2" t="s">
        <v>138</v>
      </c>
      <c r="J49" s="5" t="s">
        <v>168</v>
      </c>
      <c r="K49" s="5" t="str">
        <f>HLOOKUP($J49,LOCATION!$A$2:$M$3,2,FALSE)</f>
        <v>SWEDEN</v>
      </c>
      <c r="L49" s="5" t="str">
        <f>_xlfn.XLOOKUP($J49,LOCATION!$A$2:$M$2,LOCATION!$A$1:$M$1)</f>
        <v>Swedish</v>
      </c>
      <c r="M49" s="5" t="str">
        <f t="shared" si="1"/>
        <v>soderberg.mirjam@xyz.com</v>
      </c>
      <c r="N49" s="48">
        <v>50</v>
      </c>
      <c r="O49" s="2" t="s">
        <v>213</v>
      </c>
      <c r="P49" s="2" t="s">
        <v>217</v>
      </c>
      <c r="Q49" s="3" t="str">
        <f>_xlfn.XLOOKUP($R49,SPORT!$B$1:$B$33,SPORT!$A$1:$A$33)</f>
        <v>OUTDOOR</v>
      </c>
      <c r="R49" s="2" t="s">
        <v>177</v>
      </c>
      <c r="S49" s="49">
        <v>38965</v>
      </c>
    </row>
    <row r="50" spans="1:19" x14ac:dyDescent="0.3">
      <c r="A50" s="46">
        <v>49</v>
      </c>
      <c r="B50" s="3" t="str">
        <f t="shared" si="0"/>
        <v>H. BERNDT PALSSON</v>
      </c>
      <c r="C50" s="2" t="s">
        <v>129</v>
      </c>
      <c r="D50" s="2" t="s">
        <v>130</v>
      </c>
      <c r="E50" s="2"/>
      <c r="F50" s="2" t="s">
        <v>131</v>
      </c>
      <c r="G50" s="47">
        <v>31832</v>
      </c>
      <c r="H50" s="2" t="s">
        <v>53</v>
      </c>
      <c r="I50" s="2" t="s">
        <v>142</v>
      </c>
      <c r="J50" s="5" t="s">
        <v>168</v>
      </c>
      <c r="K50" s="5" t="str">
        <f>HLOOKUP($J50,LOCATION!$A$2:$M$3,2,FALSE)</f>
        <v>SWEDEN</v>
      </c>
      <c r="L50" s="5" t="str">
        <f>_xlfn.XLOOKUP($J50,LOCATION!$A$2:$M$2,LOCATION!$A$1:$M$1)</f>
        <v>Swedish</v>
      </c>
      <c r="M50" s="5" t="str">
        <f t="shared" si="1"/>
        <v>palsson.berndt@xyz.com</v>
      </c>
      <c r="N50" s="48">
        <v>45.9</v>
      </c>
      <c r="O50" s="2" t="s">
        <v>214</v>
      </c>
      <c r="P50" s="2" t="s">
        <v>210</v>
      </c>
      <c r="Q50" s="3" t="str">
        <f>_xlfn.XLOOKUP($R50,SPORT!$B$1:$B$33,SPORT!$A$1:$A$33)</f>
        <v>OUTDOOR</v>
      </c>
      <c r="R50" s="2" t="s">
        <v>205</v>
      </c>
      <c r="S50" s="49">
        <v>35387</v>
      </c>
    </row>
    <row r="51" spans="1:19" x14ac:dyDescent="0.3">
      <c r="A51" s="46">
        <v>50</v>
      </c>
      <c r="B51" s="3" t="str">
        <f t="shared" si="0"/>
        <v>SR. ADRIANO SOBRINHO</v>
      </c>
      <c r="C51" s="2" t="s">
        <v>13</v>
      </c>
      <c r="D51" s="2" t="s">
        <v>132</v>
      </c>
      <c r="E51" s="2" t="s">
        <v>133</v>
      </c>
      <c r="F51" s="2" t="s">
        <v>134</v>
      </c>
      <c r="G51" s="47">
        <v>34178</v>
      </c>
      <c r="H51" s="2" t="s">
        <v>30</v>
      </c>
      <c r="I51" s="2" t="s">
        <v>142</v>
      </c>
      <c r="J51" s="5" t="s">
        <v>169</v>
      </c>
      <c r="K51" s="5" t="str">
        <f>HLOOKUP($J51,LOCATION!$A$2:$M$3,2,FALSE)</f>
        <v>BRAZIL</v>
      </c>
      <c r="L51" s="5" t="str">
        <f>_xlfn.XLOOKUP($J51,LOCATION!$A$2:$M$2,LOCATION!$A$1:$M$1)</f>
        <v>Portuguese</v>
      </c>
      <c r="M51" s="5" t="str">
        <f t="shared" si="1"/>
        <v>sobrinho.adriano@xyz.com</v>
      </c>
      <c r="N51" s="48">
        <v>92.5</v>
      </c>
      <c r="O51" s="2" t="s">
        <v>209</v>
      </c>
      <c r="P51" s="2" t="s">
        <v>216</v>
      </c>
      <c r="Q51" s="3" t="str">
        <f>_xlfn.XLOOKUP($R51,SPORT!$B$1:$B$33,SPORT!$A$1:$A$33)</f>
        <v>INDOOR</v>
      </c>
      <c r="R51" s="2" t="s">
        <v>206</v>
      </c>
      <c r="S51" s="49">
        <v>20532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1F15-BCC8-4721-80B6-3F46BA3BB35F}">
  <sheetPr>
    <tabColor theme="9" tint="-0.499984740745262"/>
  </sheetPr>
  <dimension ref="A1:B33"/>
  <sheetViews>
    <sheetView showGridLines="0" topLeftCell="A2" workbookViewId="0">
      <selection activeCell="D10" sqref="D10"/>
    </sheetView>
  </sheetViews>
  <sheetFormatPr defaultRowHeight="14.4" x14ac:dyDescent="0.3"/>
  <cols>
    <col min="1" max="1" width="15.5546875" bestFit="1" customWidth="1"/>
    <col min="2" max="2" width="24" bestFit="1" customWidth="1"/>
  </cols>
  <sheetData>
    <row r="1" spans="1:2" x14ac:dyDescent="0.3">
      <c r="A1" s="32" t="s">
        <v>171</v>
      </c>
      <c r="B1" s="32" t="s">
        <v>172</v>
      </c>
    </row>
    <row r="2" spans="1:2" x14ac:dyDescent="0.3">
      <c r="A2" s="33" t="s">
        <v>173</v>
      </c>
      <c r="B2" s="33" t="s">
        <v>174</v>
      </c>
    </row>
    <row r="3" spans="1:2" x14ac:dyDescent="0.3">
      <c r="A3" s="34" t="s">
        <v>173</v>
      </c>
      <c r="B3" s="34" t="s">
        <v>175</v>
      </c>
    </row>
    <row r="4" spans="1:2" x14ac:dyDescent="0.3">
      <c r="A4" s="34" t="s">
        <v>176</v>
      </c>
      <c r="B4" s="34" t="s">
        <v>177</v>
      </c>
    </row>
    <row r="5" spans="1:2" x14ac:dyDescent="0.3">
      <c r="A5" s="34" t="s">
        <v>176</v>
      </c>
      <c r="B5" s="34" t="s">
        <v>178</v>
      </c>
    </row>
    <row r="6" spans="1:2" x14ac:dyDescent="0.3">
      <c r="A6" s="34" t="s">
        <v>173</v>
      </c>
      <c r="B6" s="34" t="s">
        <v>179</v>
      </c>
    </row>
    <row r="7" spans="1:2" x14ac:dyDescent="0.3">
      <c r="A7" s="34" t="s">
        <v>173</v>
      </c>
      <c r="B7" s="34" t="s">
        <v>180</v>
      </c>
    </row>
    <row r="8" spans="1:2" x14ac:dyDescent="0.3">
      <c r="A8" s="34" t="s">
        <v>176</v>
      </c>
      <c r="B8" s="34" t="s">
        <v>181</v>
      </c>
    </row>
    <row r="9" spans="1:2" x14ac:dyDescent="0.3">
      <c r="A9" s="34" t="s">
        <v>173</v>
      </c>
      <c r="B9" s="34" t="s">
        <v>182</v>
      </c>
    </row>
    <row r="10" spans="1:2" x14ac:dyDescent="0.3">
      <c r="A10" s="34" t="s">
        <v>173</v>
      </c>
      <c r="B10" s="34" t="s">
        <v>183</v>
      </c>
    </row>
    <row r="11" spans="1:2" x14ac:dyDescent="0.3">
      <c r="A11" s="34" t="s">
        <v>176</v>
      </c>
      <c r="B11" s="34" t="s">
        <v>184</v>
      </c>
    </row>
    <row r="12" spans="1:2" x14ac:dyDescent="0.3">
      <c r="A12" s="34" t="s">
        <v>176</v>
      </c>
      <c r="B12" s="34" t="s">
        <v>185</v>
      </c>
    </row>
    <row r="13" spans="1:2" x14ac:dyDescent="0.3">
      <c r="A13" s="34" t="s">
        <v>176</v>
      </c>
      <c r="B13" s="34" t="s">
        <v>186</v>
      </c>
    </row>
    <row r="14" spans="1:2" x14ac:dyDescent="0.3">
      <c r="A14" s="34" t="s">
        <v>176</v>
      </c>
      <c r="B14" s="34" t="s">
        <v>187</v>
      </c>
    </row>
    <row r="15" spans="1:2" x14ac:dyDescent="0.3">
      <c r="A15" s="34" t="s">
        <v>173</v>
      </c>
      <c r="B15" s="34" t="s">
        <v>188</v>
      </c>
    </row>
    <row r="16" spans="1:2" x14ac:dyDescent="0.3">
      <c r="A16" s="34" t="s">
        <v>173</v>
      </c>
      <c r="B16" s="34" t="s">
        <v>189</v>
      </c>
    </row>
    <row r="17" spans="1:2" x14ac:dyDescent="0.3">
      <c r="A17" s="34" t="s">
        <v>176</v>
      </c>
      <c r="B17" s="34" t="s">
        <v>190</v>
      </c>
    </row>
    <row r="18" spans="1:2" x14ac:dyDescent="0.3">
      <c r="A18" s="34" t="s">
        <v>173</v>
      </c>
      <c r="B18" s="34" t="s">
        <v>191</v>
      </c>
    </row>
    <row r="19" spans="1:2" x14ac:dyDescent="0.3">
      <c r="A19" s="34" t="s">
        <v>173</v>
      </c>
      <c r="B19" s="34" t="s">
        <v>192</v>
      </c>
    </row>
    <row r="20" spans="1:2" x14ac:dyDescent="0.3">
      <c r="A20" s="34" t="s">
        <v>176</v>
      </c>
      <c r="B20" s="34" t="s">
        <v>193</v>
      </c>
    </row>
    <row r="21" spans="1:2" x14ac:dyDescent="0.3">
      <c r="A21" s="34" t="s">
        <v>176</v>
      </c>
      <c r="B21" s="34" t="s">
        <v>194</v>
      </c>
    </row>
    <row r="22" spans="1:2" x14ac:dyDescent="0.3">
      <c r="A22" s="34" t="s">
        <v>176</v>
      </c>
      <c r="B22" s="34" t="s">
        <v>195</v>
      </c>
    </row>
    <row r="23" spans="1:2" x14ac:dyDescent="0.3">
      <c r="A23" s="34" t="s">
        <v>176</v>
      </c>
      <c r="B23" s="34" t="s">
        <v>196</v>
      </c>
    </row>
    <row r="24" spans="1:2" x14ac:dyDescent="0.3">
      <c r="A24" s="34" t="s">
        <v>173</v>
      </c>
      <c r="B24" s="34" t="s">
        <v>197</v>
      </c>
    </row>
    <row r="25" spans="1:2" x14ac:dyDescent="0.3">
      <c r="A25" s="34" t="s">
        <v>176</v>
      </c>
      <c r="B25" s="34" t="s">
        <v>198</v>
      </c>
    </row>
    <row r="26" spans="1:2" x14ac:dyDescent="0.3">
      <c r="A26" s="34" t="s">
        <v>173</v>
      </c>
      <c r="B26" s="34" t="s">
        <v>199</v>
      </c>
    </row>
    <row r="27" spans="1:2" x14ac:dyDescent="0.3">
      <c r="A27" s="34" t="s">
        <v>176</v>
      </c>
      <c r="B27" s="34" t="s">
        <v>200</v>
      </c>
    </row>
    <row r="28" spans="1:2" x14ac:dyDescent="0.3">
      <c r="A28" s="34" t="s">
        <v>176</v>
      </c>
      <c r="B28" s="34" t="s">
        <v>201</v>
      </c>
    </row>
    <row r="29" spans="1:2" x14ac:dyDescent="0.3">
      <c r="A29" s="34" t="s">
        <v>176</v>
      </c>
      <c r="B29" s="34" t="s">
        <v>202</v>
      </c>
    </row>
    <row r="30" spans="1:2" x14ac:dyDescent="0.3">
      <c r="A30" s="34" t="s">
        <v>173</v>
      </c>
      <c r="B30" s="34" t="s">
        <v>203</v>
      </c>
    </row>
    <row r="31" spans="1:2" x14ac:dyDescent="0.3">
      <c r="A31" s="34" t="s">
        <v>173</v>
      </c>
      <c r="B31" s="34" t="s">
        <v>204</v>
      </c>
    </row>
    <row r="32" spans="1:2" x14ac:dyDescent="0.3">
      <c r="A32" s="34" t="s">
        <v>176</v>
      </c>
      <c r="B32" s="34" t="s">
        <v>205</v>
      </c>
    </row>
    <row r="33" spans="1:2" x14ac:dyDescent="0.3">
      <c r="A33" s="34" t="s">
        <v>173</v>
      </c>
      <c r="B33" s="34"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0F04-6D2F-4C80-B7CE-FB044638AC57}">
  <sheetPr>
    <tabColor theme="9" tint="-0.499984740745262"/>
  </sheetPr>
  <dimension ref="A1:M3"/>
  <sheetViews>
    <sheetView showGridLines="0" workbookViewId="0">
      <selection activeCell="F18" sqref="F18"/>
    </sheetView>
  </sheetViews>
  <sheetFormatPr defaultRowHeight="14.4" x14ac:dyDescent="0.3"/>
  <cols>
    <col min="1" max="13" width="13.6640625" style="1" customWidth="1"/>
  </cols>
  <sheetData>
    <row r="1" spans="1:13" x14ac:dyDescent="0.3">
      <c r="A1" s="6" t="s">
        <v>136</v>
      </c>
      <c r="B1" s="3" t="s">
        <v>139</v>
      </c>
      <c r="C1" s="3" t="s">
        <v>143</v>
      </c>
      <c r="D1" s="3" t="s">
        <v>139</v>
      </c>
      <c r="E1" s="3" t="s">
        <v>148</v>
      </c>
      <c r="F1" s="3" t="s">
        <v>139</v>
      </c>
      <c r="G1" s="3" t="s">
        <v>148</v>
      </c>
      <c r="H1" s="3" t="s">
        <v>155</v>
      </c>
      <c r="I1" s="3" t="s">
        <v>158</v>
      </c>
      <c r="J1" s="3" t="s">
        <v>158</v>
      </c>
      <c r="K1" s="3" t="s">
        <v>163</v>
      </c>
      <c r="L1" s="3" t="s">
        <v>166</v>
      </c>
      <c r="M1" s="3" t="s">
        <v>143</v>
      </c>
    </row>
    <row r="2" spans="1:13" x14ac:dyDescent="0.3">
      <c r="A2" s="6" t="s">
        <v>137</v>
      </c>
      <c r="B2" s="3" t="s">
        <v>141</v>
      </c>
      <c r="C2" s="3" t="s">
        <v>145</v>
      </c>
      <c r="D2" s="3" t="s">
        <v>147</v>
      </c>
      <c r="E2" s="3" t="s">
        <v>150</v>
      </c>
      <c r="F2" s="3" t="s">
        <v>152</v>
      </c>
      <c r="G2" s="3" t="s">
        <v>154</v>
      </c>
      <c r="H2" s="3" t="s">
        <v>157</v>
      </c>
      <c r="I2" s="3" t="s">
        <v>160</v>
      </c>
      <c r="J2" s="3" t="s">
        <v>162</v>
      </c>
      <c r="K2" s="3" t="s">
        <v>165</v>
      </c>
      <c r="L2" s="3" t="s">
        <v>168</v>
      </c>
      <c r="M2" s="3" t="s">
        <v>169</v>
      </c>
    </row>
    <row r="3" spans="1:13" x14ac:dyDescent="0.3">
      <c r="A3" s="6" t="s">
        <v>228</v>
      </c>
      <c r="B3" s="3" t="s">
        <v>140</v>
      </c>
      <c r="C3" s="3" t="s">
        <v>144</v>
      </c>
      <c r="D3" s="3" t="s">
        <v>146</v>
      </c>
      <c r="E3" s="3" t="s">
        <v>149</v>
      </c>
      <c r="F3" s="3" t="s">
        <v>151</v>
      </c>
      <c r="G3" s="3" t="s">
        <v>153</v>
      </c>
      <c r="H3" s="3" t="s">
        <v>156</v>
      </c>
      <c r="I3" s="3" t="s">
        <v>159</v>
      </c>
      <c r="J3" s="3" t="s">
        <v>161</v>
      </c>
      <c r="K3" s="3" t="s">
        <v>164</v>
      </c>
      <c r="L3" s="3" t="s">
        <v>167</v>
      </c>
      <c r="M3" s="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ANALYSIS</vt:lpstr>
      <vt:lpstr>REPORT</vt:lpstr>
      <vt:lpstr>SPORTSMEN</vt:lpstr>
      <vt:lpstr>SPORT</vt:lpstr>
      <vt:lpstr>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hardik jain</cp:lastModifiedBy>
  <dcterms:created xsi:type="dcterms:W3CDTF">2019-05-28T07:07:38Z</dcterms:created>
  <dcterms:modified xsi:type="dcterms:W3CDTF">2026-01-03T09:00:13Z</dcterms:modified>
</cp:coreProperties>
</file>